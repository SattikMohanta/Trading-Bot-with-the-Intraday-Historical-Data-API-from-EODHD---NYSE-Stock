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G:\"/>
    </mc:Choice>
  </mc:AlternateContent>
  <xr:revisionPtr revIDLastSave="0" documentId="13_ncr:1_{D1758485-3A55-42E5-B4B0-A242B6E3C449}" xr6:coauthVersionLast="47" xr6:coauthVersionMax="47" xr10:uidLastSave="{00000000-0000-0000-0000-000000000000}"/>
  <bookViews>
    <workbookView xWindow="-120" yWindow="-120" windowWidth="20730" windowHeight="11160" tabRatio="522" xr2:uid="{00000000-000D-0000-FFFF-FFFF00000000}"/>
  </bookViews>
  <sheets>
    <sheet name="Sheet1" sheetId="1" r:id="rId1"/>
    <sheet name="Info" sheetId="2" r:id="rId2"/>
  </sheets>
  <definedNames>
    <definedName name="Actual">Sheet1!$A$6:$A$302</definedName>
    <definedName name="Predicted">Sheet1!$T$6:$T$302</definedName>
    <definedName name="solver_adj" localSheetId="0" hidden="1">Sheet1!$A$3:$N$3</definedName>
    <definedName name="solver_cvg" localSheetId="0" hidden="1">0.00001</definedName>
    <definedName name="solver_drv" localSheetId="0" hidden="1">1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2</definedName>
    <definedName name="solver_nod" localSheetId="0" hidden="1">2147483647</definedName>
    <definedName name="solver_num" localSheetId="0" hidden="1">0</definedName>
    <definedName name="solver_nwt" localSheetId="0" hidden="1">1</definedName>
    <definedName name="solver_opt" localSheetId="0" hidden="1">Sheet1!$S$2</definedName>
    <definedName name="solver_pre" localSheetId="0" hidden="1">0.000001</definedName>
    <definedName name="solver_rbv" localSheetId="0" hidden="1">1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1000</definedName>
    <definedName name="solver_tim" localSheetId="0" hidden="1">2147483647</definedName>
    <definedName name="solver_tol" localSheetId="0" hidden="1">0.01</definedName>
    <definedName name="solver_typ" localSheetId="0" hidden="1">1</definedName>
    <definedName name="solver_val" localSheetId="0" hidden="1">0</definedName>
    <definedName name="solver_ver" localSheetId="0" hidden="1">3</definedName>
  </definedNames>
  <calcPr calcId="181029"/>
</workbook>
</file>

<file path=xl/calcChain.xml><?xml version="1.0" encoding="utf-8"?>
<calcChain xmlns="http://schemas.openxmlformats.org/spreadsheetml/2006/main">
  <c r="T7" i="1" l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6" i="1"/>
  <c r="R6" i="1"/>
  <c r="O7" i="1"/>
  <c r="P7" i="1" s="1"/>
  <c r="Q7" i="1" s="1"/>
  <c r="R7" i="1" s="1"/>
  <c r="S7" i="1" s="1"/>
  <c r="O8" i="1"/>
  <c r="P8" i="1" s="1"/>
  <c r="Q8" i="1" s="1"/>
  <c r="R8" i="1" s="1"/>
  <c r="S8" i="1" s="1"/>
  <c r="O9" i="1"/>
  <c r="P9" i="1" s="1"/>
  <c r="Q9" i="1" s="1"/>
  <c r="R9" i="1" s="1"/>
  <c r="S9" i="1" s="1"/>
  <c r="O10" i="1"/>
  <c r="P10" i="1" s="1"/>
  <c r="Q10" i="1" s="1"/>
  <c r="R10" i="1" s="1"/>
  <c r="S10" i="1" s="1"/>
  <c r="O11" i="1"/>
  <c r="P11" i="1" s="1"/>
  <c r="Q11" i="1" s="1"/>
  <c r="R11" i="1" s="1"/>
  <c r="S11" i="1" s="1"/>
  <c r="O12" i="1"/>
  <c r="P12" i="1" s="1"/>
  <c r="Q12" i="1" s="1"/>
  <c r="R12" i="1" s="1"/>
  <c r="S12" i="1" s="1"/>
  <c r="O13" i="1"/>
  <c r="P13" i="1" s="1"/>
  <c r="Q13" i="1" s="1"/>
  <c r="R13" i="1" s="1"/>
  <c r="S13" i="1" s="1"/>
  <c r="O14" i="1"/>
  <c r="P14" i="1" s="1"/>
  <c r="Q14" i="1" s="1"/>
  <c r="R14" i="1" s="1"/>
  <c r="S14" i="1" s="1"/>
  <c r="O15" i="1"/>
  <c r="P15" i="1" s="1"/>
  <c r="Q15" i="1" s="1"/>
  <c r="R15" i="1" s="1"/>
  <c r="S15" i="1" s="1"/>
  <c r="O16" i="1"/>
  <c r="P16" i="1" s="1"/>
  <c r="Q16" i="1" s="1"/>
  <c r="R16" i="1" s="1"/>
  <c r="S16" i="1" s="1"/>
  <c r="O17" i="1"/>
  <c r="P17" i="1" s="1"/>
  <c r="Q17" i="1" s="1"/>
  <c r="R17" i="1" s="1"/>
  <c r="S17" i="1" s="1"/>
  <c r="O18" i="1"/>
  <c r="P18" i="1" s="1"/>
  <c r="Q18" i="1" s="1"/>
  <c r="R18" i="1" s="1"/>
  <c r="S18" i="1" s="1"/>
  <c r="O19" i="1"/>
  <c r="P19" i="1" s="1"/>
  <c r="Q19" i="1" s="1"/>
  <c r="R19" i="1" s="1"/>
  <c r="S19" i="1" s="1"/>
  <c r="O20" i="1"/>
  <c r="P20" i="1" s="1"/>
  <c r="Q20" i="1" s="1"/>
  <c r="R20" i="1" s="1"/>
  <c r="S20" i="1" s="1"/>
  <c r="O21" i="1"/>
  <c r="P21" i="1" s="1"/>
  <c r="Q21" i="1" s="1"/>
  <c r="R21" i="1" s="1"/>
  <c r="S21" i="1" s="1"/>
  <c r="O22" i="1"/>
  <c r="P22" i="1" s="1"/>
  <c r="Q22" i="1" s="1"/>
  <c r="R22" i="1" s="1"/>
  <c r="S22" i="1" s="1"/>
  <c r="O23" i="1"/>
  <c r="P23" i="1" s="1"/>
  <c r="Q23" i="1" s="1"/>
  <c r="R23" i="1" s="1"/>
  <c r="S23" i="1" s="1"/>
  <c r="O24" i="1"/>
  <c r="P24" i="1" s="1"/>
  <c r="Q24" i="1" s="1"/>
  <c r="R24" i="1" s="1"/>
  <c r="S24" i="1" s="1"/>
  <c r="O25" i="1"/>
  <c r="P25" i="1" s="1"/>
  <c r="Q25" i="1" s="1"/>
  <c r="R25" i="1" s="1"/>
  <c r="S25" i="1" s="1"/>
  <c r="O26" i="1"/>
  <c r="P26" i="1" s="1"/>
  <c r="Q26" i="1" s="1"/>
  <c r="R26" i="1" s="1"/>
  <c r="S26" i="1" s="1"/>
  <c r="O27" i="1"/>
  <c r="P27" i="1" s="1"/>
  <c r="Q27" i="1" s="1"/>
  <c r="R27" i="1" s="1"/>
  <c r="S27" i="1" s="1"/>
  <c r="O28" i="1"/>
  <c r="P28" i="1" s="1"/>
  <c r="Q28" i="1" s="1"/>
  <c r="R28" i="1" s="1"/>
  <c r="S28" i="1" s="1"/>
  <c r="O29" i="1"/>
  <c r="P29" i="1" s="1"/>
  <c r="Q29" i="1" s="1"/>
  <c r="R29" i="1" s="1"/>
  <c r="S29" i="1" s="1"/>
  <c r="O30" i="1"/>
  <c r="P30" i="1" s="1"/>
  <c r="Q30" i="1" s="1"/>
  <c r="R30" i="1" s="1"/>
  <c r="S30" i="1" s="1"/>
  <c r="O31" i="1"/>
  <c r="P31" i="1" s="1"/>
  <c r="Q31" i="1" s="1"/>
  <c r="R31" i="1" s="1"/>
  <c r="S31" i="1" s="1"/>
  <c r="O32" i="1"/>
  <c r="P32" i="1" s="1"/>
  <c r="Q32" i="1" s="1"/>
  <c r="R32" i="1" s="1"/>
  <c r="S32" i="1" s="1"/>
  <c r="O33" i="1"/>
  <c r="P33" i="1" s="1"/>
  <c r="Q33" i="1" s="1"/>
  <c r="R33" i="1" s="1"/>
  <c r="S33" i="1" s="1"/>
  <c r="O34" i="1"/>
  <c r="P34" i="1" s="1"/>
  <c r="Q34" i="1" s="1"/>
  <c r="R34" i="1" s="1"/>
  <c r="S34" i="1" s="1"/>
  <c r="O35" i="1"/>
  <c r="P35" i="1" s="1"/>
  <c r="Q35" i="1" s="1"/>
  <c r="R35" i="1" s="1"/>
  <c r="S35" i="1" s="1"/>
  <c r="O36" i="1"/>
  <c r="P36" i="1" s="1"/>
  <c r="Q36" i="1" s="1"/>
  <c r="R36" i="1" s="1"/>
  <c r="S36" i="1" s="1"/>
  <c r="O37" i="1"/>
  <c r="P37" i="1" s="1"/>
  <c r="Q37" i="1" s="1"/>
  <c r="R37" i="1" s="1"/>
  <c r="S37" i="1" s="1"/>
  <c r="O38" i="1"/>
  <c r="P38" i="1" s="1"/>
  <c r="Q38" i="1" s="1"/>
  <c r="R38" i="1" s="1"/>
  <c r="S38" i="1" s="1"/>
  <c r="O39" i="1"/>
  <c r="P39" i="1" s="1"/>
  <c r="Q39" i="1" s="1"/>
  <c r="R39" i="1" s="1"/>
  <c r="S39" i="1" s="1"/>
  <c r="O40" i="1"/>
  <c r="P40" i="1" s="1"/>
  <c r="Q40" i="1" s="1"/>
  <c r="R40" i="1" s="1"/>
  <c r="S40" i="1" s="1"/>
  <c r="O41" i="1"/>
  <c r="P41" i="1" s="1"/>
  <c r="Q41" i="1" s="1"/>
  <c r="R41" i="1" s="1"/>
  <c r="S41" i="1" s="1"/>
  <c r="O42" i="1"/>
  <c r="P42" i="1" s="1"/>
  <c r="Q42" i="1" s="1"/>
  <c r="R42" i="1" s="1"/>
  <c r="S42" i="1" s="1"/>
  <c r="O43" i="1"/>
  <c r="P43" i="1" s="1"/>
  <c r="Q43" i="1" s="1"/>
  <c r="R43" i="1" s="1"/>
  <c r="S43" i="1" s="1"/>
  <c r="O44" i="1"/>
  <c r="P44" i="1" s="1"/>
  <c r="Q44" i="1" s="1"/>
  <c r="R44" i="1" s="1"/>
  <c r="S44" i="1" s="1"/>
  <c r="O45" i="1"/>
  <c r="P45" i="1" s="1"/>
  <c r="Q45" i="1" s="1"/>
  <c r="R45" i="1" s="1"/>
  <c r="S45" i="1" s="1"/>
  <c r="O46" i="1"/>
  <c r="P46" i="1" s="1"/>
  <c r="Q46" i="1" s="1"/>
  <c r="R46" i="1" s="1"/>
  <c r="S46" i="1" s="1"/>
  <c r="O47" i="1"/>
  <c r="P47" i="1" s="1"/>
  <c r="Q47" i="1" s="1"/>
  <c r="R47" i="1" s="1"/>
  <c r="S47" i="1" s="1"/>
  <c r="O48" i="1"/>
  <c r="P48" i="1" s="1"/>
  <c r="Q48" i="1" s="1"/>
  <c r="R48" i="1" s="1"/>
  <c r="S48" i="1" s="1"/>
  <c r="O49" i="1"/>
  <c r="P49" i="1" s="1"/>
  <c r="Q49" i="1" s="1"/>
  <c r="R49" i="1" s="1"/>
  <c r="S49" i="1" s="1"/>
  <c r="O50" i="1"/>
  <c r="P50" i="1" s="1"/>
  <c r="Q50" i="1" s="1"/>
  <c r="R50" i="1" s="1"/>
  <c r="S50" i="1" s="1"/>
  <c r="O51" i="1"/>
  <c r="P51" i="1" s="1"/>
  <c r="Q51" i="1" s="1"/>
  <c r="R51" i="1" s="1"/>
  <c r="S51" i="1" s="1"/>
  <c r="O52" i="1"/>
  <c r="P52" i="1" s="1"/>
  <c r="Q52" i="1" s="1"/>
  <c r="R52" i="1" s="1"/>
  <c r="S52" i="1" s="1"/>
  <c r="O53" i="1"/>
  <c r="P53" i="1" s="1"/>
  <c r="Q53" i="1" s="1"/>
  <c r="R53" i="1" s="1"/>
  <c r="S53" i="1" s="1"/>
  <c r="O54" i="1"/>
  <c r="P54" i="1" s="1"/>
  <c r="Q54" i="1" s="1"/>
  <c r="R54" i="1" s="1"/>
  <c r="S54" i="1" s="1"/>
  <c r="O55" i="1"/>
  <c r="P55" i="1" s="1"/>
  <c r="Q55" i="1" s="1"/>
  <c r="R55" i="1" s="1"/>
  <c r="S55" i="1" s="1"/>
  <c r="O56" i="1"/>
  <c r="P56" i="1" s="1"/>
  <c r="Q56" i="1" s="1"/>
  <c r="R56" i="1" s="1"/>
  <c r="S56" i="1" s="1"/>
  <c r="O57" i="1"/>
  <c r="P57" i="1" s="1"/>
  <c r="Q57" i="1" s="1"/>
  <c r="R57" i="1" s="1"/>
  <c r="S57" i="1" s="1"/>
  <c r="O58" i="1"/>
  <c r="P58" i="1" s="1"/>
  <c r="Q58" i="1" s="1"/>
  <c r="R58" i="1" s="1"/>
  <c r="S58" i="1" s="1"/>
  <c r="O59" i="1"/>
  <c r="P59" i="1" s="1"/>
  <c r="Q59" i="1" s="1"/>
  <c r="R59" i="1" s="1"/>
  <c r="S59" i="1" s="1"/>
  <c r="O60" i="1"/>
  <c r="P60" i="1" s="1"/>
  <c r="Q60" i="1" s="1"/>
  <c r="R60" i="1" s="1"/>
  <c r="S60" i="1" s="1"/>
  <c r="O61" i="1"/>
  <c r="P61" i="1" s="1"/>
  <c r="Q61" i="1" s="1"/>
  <c r="R61" i="1" s="1"/>
  <c r="S61" i="1" s="1"/>
  <c r="O62" i="1"/>
  <c r="P62" i="1" s="1"/>
  <c r="Q62" i="1" s="1"/>
  <c r="R62" i="1" s="1"/>
  <c r="S62" i="1" s="1"/>
  <c r="O63" i="1"/>
  <c r="P63" i="1" s="1"/>
  <c r="Q63" i="1" s="1"/>
  <c r="R63" i="1" s="1"/>
  <c r="S63" i="1" s="1"/>
  <c r="O64" i="1"/>
  <c r="P64" i="1" s="1"/>
  <c r="Q64" i="1" s="1"/>
  <c r="R64" i="1" s="1"/>
  <c r="S64" i="1" s="1"/>
  <c r="O65" i="1"/>
  <c r="P65" i="1" s="1"/>
  <c r="Q65" i="1" s="1"/>
  <c r="R65" i="1" s="1"/>
  <c r="S65" i="1" s="1"/>
  <c r="O66" i="1"/>
  <c r="P66" i="1" s="1"/>
  <c r="Q66" i="1" s="1"/>
  <c r="R66" i="1" s="1"/>
  <c r="S66" i="1" s="1"/>
  <c r="O67" i="1"/>
  <c r="P67" i="1" s="1"/>
  <c r="Q67" i="1" s="1"/>
  <c r="R67" i="1" s="1"/>
  <c r="S67" i="1" s="1"/>
  <c r="O68" i="1"/>
  <c r="P68" i="1" s="1"/>
  <c r="Q68" i="1" s="1"/>
  <c r="R68" i="1" s="1"/>
  <c r="S68" i="1" s="1"/>
  <c r="O69" i="1"/>
  <c r="P69" i="1" s="1"/>
  <c r="Q69" i="1" s="1"/>
  <c r="R69" i="1" s="1"/>
  <c r="S69" i="1" s="1"/>
  <c r="O70" i="1"/>
  <c r="P70" i="1" s="1"/>
  <c r="Q70" i="1" s="1"/>
  <c r="R70" i="1" s="1"/>
  <c r="S70" i="1" s="1"/>
  <c r="O71" i="1"/>
  <c r="P71" i="1" s="1"/>
  <c r="Q71" i="1" s="1"/>
  <c r="R71" i="1" s="1"/>
  <c r="S71" i="1" s="1"/>
  <c r="O72" i="1"/>
  <c r="P72" i="1" s="1"/>
  <c r="Q72" i="1" s="1"/>
  <c r="R72" i="1" s="1"/>
  <c r="S72" i="1" s="1"/>
  <c r="O73" i="1"/>
  <c r="P73" i="1" s="1"/>
  <c r="Q73" i="1" s="1"/>
  <c r="R73" i="1" s="1"/>
  <c r="S73" i="1" s="1"/>
  <c r="O74" i="1"/>
  <c r="P74" i="1" s="1"/>
  <c r="Q74" i="1" s="1"/>
  <c r="R74" i="1" s="1"/>
  <c r="S74" i="1" s="1"/>
  <c r="O75" i="1"/>
  <c r="P75" i="1" s="1"/>
  <c r="Q75" i="1" s="1"/>
  <c r="R75" i="1" s="1"/>
  <c r="S75" i="1" s="1"/>
  <c r="O76" i="1"/>
  <c r="P76" i="1" s="1"/>
  <c r="Q76" i="1" s="1"/>
  <c r="R76" i="1" s="1"/>
  <c r="S76" i="1" s="1"/>
  <c r="O77" i="1"/>
  <c r="P77" i="1" s="1"/>
  <c r="Q77" i="1" s="1"/>
  <c r="R77" i="1" s="1"/>
  <c r="S77" i="1" s="1"/>
  <c r="O78" i="1"/>
  <c r="P78" i="1" s="1"/>
  <c r="Q78" i="1" s="1"/>
  <c r="R78" i="1" s="1"/>
  <c r="S78" i="1" s="1"/>
  <c r="O79" i="1"/>
  <c r="P79" i="1" s="1"/>
  <c r="Q79" i="1" s="1"/>
  <c r="R79" i="1" s="1"/>
  <c r="S79" i="1" s="1"/>
  <c r="O80" i="1"/>
  <c r="P80" i="1" s="1"/>
  <c r="Q80" i="1" s="1"/>
  <c r="R80" i="1" s="1"/>
  <c r="S80" i="1" s="1"/>
  <c r="O81" i="1"/>
  <c r="P81" i="1" s="1"/>
  <c r="Q81" i="1" s="1"/>
  <c r="R81" i="1" s="1"/>
  <c r="S81" i="1" s="1"/>
  <c r="O82" i="1"/>
  <c r="P82" i="1" s="1"/>
  <c r="Q82" i="1" s="1"/>
  <c r="R82" i="1" s="1"/>
  <c r="S82" i="1" s="1"/>
  <c r="O83" i="1"/>
  <c r="P83" i="1" s="1"/>
  <c r="Q83" i="1" s="1"/>
  <c r="R83" i="1" s="1"/>
  <c r="S83" i="1" s="1"/>
  <c r="O84" i="1"/>
  <c r="P84" i="1" s="1"/>
  <c r="Q84" i="1" s="1"/>
  <c r="R84" i="1" s="1"/>
  <c r="S84" i="1" s="1"/>
  <c r="O85" i="1"/>
  <c r="P85" i="1" s="1"/>
  <c r="Q85" i="1" s="1"/>
  <c r="R85" i="1" s="1"/>
  <c r="S85" i="1" s="1"/>
  <c r="O86" i="1"/>
  <c r="P86" i="1" s="1"/>
  <c r="Q86" i="1" s="1"/>
  <c r="R86" i="1" s="1"/>
  <c r="S86" i="1" s="1"/>
  <c r="O87" i="1"/>
  <c r="P87" i="1" s="1"/>
  <c r="Q87" i="1" s="1"/>
  <c r="R87" i="1" s="1"/>
  <c r="S87" i="1" s="1"/>
  <c r="O88" i="1"/>
  <c r="P88" i="1" s="1"/>
  <c r="Q88" i="1" s="1"/>
  <c r="R88" i="1" s="1"/>
  <c r="S88" i="1" s="1"/>
  <c r="O89" i="1"/>
  <c r="P89" i="1" s="1"/>
  <c r="Q89" i="1" s="1"/>
  <c r="R89" i="1" s="1"/>
  <c r="S89" i="1" s="1"/>
  <c r="O90" i="1"/>
  <c r="P90" i="1" s="1"/>
  <c r="Q90" i="1" s="1"/>
  <c r="R90" i="1" s="1"/>
  <c r="S90" i="1" s="1"/>
  <c r="O91" i="1"/>
  <c r="P91" i="1" s="1"/>
  <c r="Q91" i="1" s="1"/>
  <c r="R91" i="1" s="1"/>
  <c r="S91" i="1" s="1"/>
  <c r="O92" i="1"/>
  <c r="P92" i="1" s="1"/>
  <c r="Q92" i="1" s="1"/>
  <c r="R92" i="1" s="1"/>
  <c r="S92" i="1" s="1"/>
  <c r="O93" i="1"/>
  <c r="P93" i="1" s="1"/>
  <c r="Q93" i="1" s="1"/>
  <c r="R93" i="1" s="1"/>
  <c r="S93" i="1" s="1"/>
  <c r="O94" i="1"/>
  <c r="P94" i="1" s="1"/>
  <c r="Q94" i="1" s="1"/>
  <c r="R94" i="1" s="1"/>
  <c r="S94" i="1" s="1"/>
  <c r="O95" i="1"/>
  <c r="P95" i="1" s="1"/>
  <c r="Q95" i="1" s="1"/>
  <c r="R95" i="1" s="1"/>
  <c r="S95" i="1" s="1"/>
  <c r="O96" i="1"/>
  <c r="P96" i="1" s="1"/>
  <c r="Q96" i="1" s="1"/>
  <c r="R96" i="1" s="1"/>
  <c r="S96" i="1" s="1"/>
  <c r="O97" i="1"/>
  <c r="P97" i="1" s="1"/>
  <c r="Q97" i="1" s="1"/>
  <c r="R97" i="1" s="1"/>
  <c r="S97" i="1" s="1"/>
  <c r="O98" i="1"/>
  <c r="P98" i="1" s="1"/>
  <c r="Q98" i="1" s="1"/>
  <c r="R98" i="1" s="1"/>
  <c r="S98" i="1" s="1"/>
  <c r="O99" i="1"/>
  <c r="P99" i="1" s="1"/>
  <c r="Q99" i="1" s="1"/>
  <c r="R99" i="1" s="1"/>
  <c r="S99" i="1" s="1"/>
  <c r="O100" i="1"/>
  <c r="P100" i="1" s="1"/>
  <c r="Q100" i="1" s="1"/>
  <c r="R100" i="1" s="1"/>
  <c r="S100" i="1" s="1"/>
  <c r="O101" i="1"/>
  <c r="P101" i="1" s="1"/>
  <c r="Q101" i="1" s="1"/>
  <c r="R101" i="1" s="1"/>
  <c r="S101" i="1" s="1"/>
  <c r="O102" i="1"/>
  <c r="P102" i="1" s="1"/>
  <c r="Q102" i="1" s="1"/>
  <c r="R102" i="1" s="1"/>
  <c r="S102" i="1" s="1"/>
  <c r="O103" i="1"/>
  <c r="P103" i="1" s="1"/>
  <c r="Q103" i="1" s="1"/>
  <c r="R103" i="1" s="1"/>
  <c r="S103" i="1" s="1"/>
  <c r="O104" i="1"/>
  <c r="P104" i="1" s="1"/>
  <c r="Q104" i="1" s="1"/>
  <c r="R104" i="1" s="1"/>
  <c r="S104" i="1" s="1"/>
  <c r="O105" i="1"/>
  <c r="P105" i="1" s="1"/>
  <c r="Q105" i="1" s="1"/>
  <c r="R105" i="1" s="1"/>
  <c r="S105" i="1" s="1"/>
  <c r="O106" i="1"/>
  <c r="P106" i="1" s="1"/>
  <c r="Q106" i="1" s="1"/>
  <c r="R106" i="1" s="1"/>
  <c r="S106" i="1" s="1"/>
  <c r="O107" i="1"/>
  <c r="P107" i="1" s="1"/>
  <c r="Q107" i="1" s="1"/>
  <c r="R107" i="1" s="1"/>
  <c r="S107" i="1" s="1"/>
  <c r="O108" i="1"/>
  <c r="P108" i="1" s="1"/>
  <c r="Q108" i="1" s="1"/>
  <c r="R108" i="1" s="1"/>
  <c r="S108" i="1" s="1"/>
  <c r="O109" i="1"/>
  <c r="P109" i="1" s="1"/>
  <c r="Q109" i="1" s="1"/>
  <c r="R109" i="1" s="1"/>
  <c r="S109" i="1" s="1"/>
  <c r="O110" i="1"/>
  <c r="P110" i="1" s="1"/>
  <c r="Q110" i="1" s="1"/>
  <c r="R110" i="1" s="1"/>
  <c r="S110" i="1" s="1"/>
  <c r="O111" i="1"/>
  <c r="P111" i="1" s="1"/>
  <c r="Q111" i="1" s="1"/>
  <c r="R111" i="1" s="1"/>
  <c r="S111" i="1" s="1"/>
  <c r="O112" i="1"/>
  <c r="P112" i="1" s="1"/>
  <c r="Q112" i="1" s="1"/>
  <c r="R112" i="1" s="1"/>
  <c r="S112" i="1" s="1"/>
  <c r="O113" i="1"/>
  <c r="P113" i="1" s="1"/>
  <c r="Q113" i="1" s="1"/>
  <c r="R113" i="1" s="1"/>
  <c r="S113" i="1" s="1"/>
  <c r="O114" i="1"/>
  <c r="P114" i="1" s="1"/>
  <c r="Q114" i="1" s="1"/>
  <c r="R114" i="1" s="1"/>
  <c r="S114" i="1" s="1"/>
  <c r="O115" i="1"/>
  <c r="P115" i="1" s="1"/>
  <c r="Q115" i="1" s="1"/>
  <c r="R115" i="1" s="1"/>
  <c r="S115" i="1" s="1"/>
  <c r="O116" i="1"/>
  <c r="P116" i="1" s="1"/>
  <c r="Q116" i="1" s="1"/>
  <c r="R116" i="1" s="1"/>
  <c r="S116" i="1" s="1"/>
  <c r="O117" i="1"/>
  <c r="P117" i="1" s="1"/>
  <c r="Q117" i="1" s="1"/>
  <c r="R117" i="1" s="1"/>
  <c r="S117" i="1" s="1"/>
  <c r="O118" i="1"/>
  <c r="P118" i="1" s="1"/>
  <c r="Q118" i="1" s="1"/>
  <c r="R118" i="1" s="1"/>
  <c r="S118" i="1" s="1"/>
  <c r="O119" i="1"/>
  <c r="P119" i="1" s="1"/>
  <c r="Q119" i="1" s="1"/>
  <c r="R119" i="1" s="1"/>
  <c r="S119" i="1" s="1"/>
  <c r="O120" i="1"/>
  <c r="P120" i="1" s="1"/>
  <c r="Q120" i="1" s="1"/>
  <c r="R120" i="1" s="1"/>
  <c r="S120" i="1" s="1"/>
  <c r="O121" i="1"/>
  <c r="P121" i="1" s="1"/>
  <c r="Q121" i="1" s="1"/>
  <c r="R121" i="1" s="1"/>
  <c r="S121" i="1" s="1"/>
  <c r="O122" i="1"/>
  <c r="P122" i="1" s="1"/>
  <c r="Q122" i="1" s="1"/>
  <c r="R122" i="1" s="1"/>
  <c r="S122" i="1" s="1"/>
  <c r="O123" i="1"/>
  <c r="P123" i="1" s="1"/>
  <c r="Q123" i="1" s="1"/>
  <c r="R123" i="1" s="1"/>
  <c r="S123" i="1" s="1"/>
  <c r="O124" i="1"/>
  <c r="P124" i="1" s="1"/>
  <c r="Q124" i="1" s="1"/>
  <c r="R124" i="1" s="1"/>
  <c r="S124" i="1" s="1"/>
  <c r="O125" i="1"/>
  <c r="P125" i="1" s="1"/>
  <c r="Q125" i="1" s="1"/>
  <c r="R125" i="1" s="1"/>
  <c r="S125" i="1" s="1"/>
  <c r="O126" i="1"/>
  <c r="P126" i="1" s="1"/>
  <c r="Q126" i="1" s="1"/>
  <c r="R126" i="1" s="1"/>
  <c r="S126" i="1" s="1"/>
  <c r="O127" i="1"/>
  <c r="P127" i="1" s="1"/>
  <c r="Q127" i="1" s="1"/>
  <c r="R127" i="1" s="1"/>
  <c r="S127" i="1" s="1"/>
  <c r="O128" i="1"/>
  <c r="P128" i="1" s="1"/>
  <c r="Q128" i="1" s="1"/>
  <c r="R128" i="1" s="1"/>
  <c r="S128" i="1" s="1"/>
  <c r="O129" i="1"/>
  <c r="P129" i="1" s="1"/>
  <c r="Q129" i="1" s="1"/>
  <c r="R129" i="1" s="1"/>
  <c r="S129" i="1" s="1"/>
  <c r="O130" i="1"/>
  <c r="P130" i="1" s="1"/>
  <c r="Q130" i="1" s="1"/>
  <c r="R130" i="1" s="1"/>
  <c r="S130" i="1" s="1"/>
  <c r="O131" i="1"/>
  <c r="P131" i="1" s="1"/>
  <c r="Q131" i="1" s="1"/>
  <c r="R131" i="1" s="1"/>
  <c r="S131" i="1" s="1"/>
  <c r="O132" i="1"/>
  <c r="P132" i="1" s="1"/>
  <c r="Q132" i="1" s="1"/>
  <c r="R132" i="1" s="1"/>
  <c r="S132" i="1" s="1"/>
  <c r="O133" i="1"/>
  <c r="P133" i="1" s="1"/>
  <c r="Q133" i="1" s="1"/>
  <c r="R133" i="1" s="1"/>
  <c r="S133" i="1" s="1"/>
  <c r="O134" i="1"/>
  <c r="P134" i="1" s="1"/>
  <c r="Q134" i="1" s="1"/>
  <c r="R134" i="1" s="1"/>
  <c r="S134" i="1" s="1"/>
  <c r="O135" i="1"/>
  <c r="P135" i="1" s="1"/>
  <c r="Q135" i="1" s="1"/>
  <c r="R135" i="1" s="1"/>
  <c r="S135" i="1" s="1"/>
  <c r="O136" i="1"/>
  <c r="P136" i="1" s="1"/>
  <c r="Q136" i="1" s="1"/>
  <c r="R136" i="1" s="1"/>
  <c r="S136" i="1" s="1"/>
  <c r="O137" i="1"/>
  <c r="P137" i="1" s="1"/>
  <c r="Q137" i="1" s="1"/>
  <c r="R137" i="1" s="1"/>
  <c r="S137" i="1" s="1"/>
  <c r="O138" i="1"/>
  <c r="P138" i="1" s="1"/>
  <c r="Q138" i="1" s="1"/>
  <c r="R138" i="1" s="1"/>
  <c r="S138" i="1" s="1"/>
  <c r="O139" i="1"/>
  <c r="P139" i="1" s="1"/>
  <c r="Q139" i="1" s="1"/>
  <c r="R139" i="1" s="1"/>
  <c r="S139" i="1" s="1"/>
  <c r="O140" i="1"/>
  <c r="P140" i="1" s="1"/>
  <c r="Q140" i="1" s="1"/>
  <c r="R140" i="1" s="1"/>
  <c r="S140" i="1" s="1"/>
  <c r="O141" i="1"/>
  <c r="P141" i="1" s="1"/>
  <c r="Q141" i="1" s="1"/>
  <c r="R141" i="1" s="1"/>
  <c r="S141" i="1" s="1"/>
  <c r="O142" i="1"/>
  <c r="P142" i="1" s="1"/>
  <c r="Q142" i="1" s="1"/>
  <c r="R142" i="1" s="1"/>
  <c r="S142" i="1" s="1"/>
  <c r="O143" i="1"/>
  <c r="P143" i="1" s="1"/>
  <c r="Q143" i="1" s="1"/>
  <c r="R143" i="1" s="1"/>
  <c r="S143" i="1" s="1"/>
  <c r="O144" i="1"/>
  <c r="P144" i="1" s="1"/>
  <c r="Q144" i="1" s="1"/>
  <c r="R144" i="1" s="1"/>
  <c r="S144" i="1" s="1"/>
  <c r="O145" i="1"/>
  <c r="P145" i="1" s="1"/>
  <c r="Q145" i="1" s="1"/>
  <c r="R145" i="1" s="1"/>
  <c r="S145" i="1" s="1"/>
  <c r="O146" i="1"/>
  <c r="P146" i="1" s="1"/>
  <c r="Q146" i="1" s="1"/>
  <c r="R146" i="1" s="1"/>
  <c r="S146" i="1" s="1"/>
  <c r="O147" i="1"/>
  <c r="P147" i="1" s="1"/>
  <c r="Q147" i="1" s="1"/>
  <c r="R147" i="1" s="1"/>
  <c r="S147" i="1" s="1"/>
  <c r="O148" i="1"/>
  <c r="P148" i="1" s="1"/>
  <c r="Q148" i="1" s="1"/>
  <c r="R148" i="1" s="1"/>
  <c r="S148" i="1" s="1"/>
  <c r="O149" i="1"/>
  <c r="P149" i="1" s="1"/>
  <c r="Q149" i="1" s="1"/>
  <c r="R149" i="1" s="1"/>
  <c r="S149" i="1" s="1"/>
  <c r="O150" i="1"/>
  <c r="P150" i="1" s="1"/>
  <c r="Q150" i="1" s="1"/>
  <c r="R150" i="1" s="1"/>
  <c r="S150" i="1" s="1"/>
  <c r="O151" i="1"/>
  <c r="P151" i="1" s="1"/>
  <c r="Q151" i="1" s="1"/>
  <c r="R151" i="1" s="1"/>
  <c r="S151" i="1" s="1"/>
  <c r="O152" i="1"/>
  <c r="P152" i="1" s="1"/>
  <c r="Q152" i="1" s="1"/>
  <c r="R152" i="1" s="1"/>
  <c r="S152" i="1" s="1"/>
  <c r="O153" i="1"/>
  <c r="P153" i="1" s="1"/>
  <c r="Q153" i="1" s="1"/>
  <c r="R153" i="1" s="1"/>
  <c r="S153" i="1" s="1"/>
  <c r="O154" i="1"/>
  <c r="P154" i="1" s="1"/>
  <c r="Q154" i="1" s="1"/>
  <c r="R154" i="1" s="1"/>
  <c r="S154" i="1" s="1"/>
  <c r="O155" i="1"/>
  <c r="P155" i="1" s="1"/>
  <c r="Q155" i="1" s="1"/>
  <c r="R155" i="1" s="1"/>
  <c r="S155" i="1" s="1"/>
  <c r="O156" i="1"/>
  <c r="P156" i="1" s="1"/>
  <c r="Q156" i="1" s="1"/>
  <c r="R156" i="1" s="1"/>
  <c r="S156" i="1" s="1"/>
  <c r="O157" i="1"/>
  <c r="P157" i="1" s="1"/>
  <c r="Q157" i="1" s="1"/>
  <c r="R157" i="1" s="1"/>
  <c r="S157" i="1" s="1"/>
  <c r="O158" i="1"/>
  <c r="P158" i="1" s="1"/>
  <c r="Q158" i="1" s="1"/>
  <c r="R158" i="1" s="1"/>
  <c r="S158" i="1" s="1"/>
  <c r="O159" i="1"/>
  <c r="P159" i="1" s="1"/>
  <c r="Q159" i="1" s="1"/>
  <c r="R159" i="1" s="1"/>
  <c r="S159" i="1" s="1"/>
  <c r="O160" i="1"/>
  <c r="P160" i="1" s="1"/>
  <c r="Q160" i="1" s="1"/>
  <c r="R160" i="1" s="1"/>
  <c r="S160" i="1" s="1"/>
  <c r="O161" i="1"/>
  <c r="P161" i="1" s="1"/>
  <c r="Q161" i="1" s="1"/>
  <c r="R161" i="1" s="1"/>
  <c r="S161" i="1" s="1"/>
  <c r="O162" i="1"/>
  <c r="P162" i="1" s="1"/>
  <c r="Q162" i="1" s="1"/>
  <c r="R162" i="1" s="1"/>
  <c r="S162" i="1" s="1"/>
  <c r="O163" i="1"/>
  <c r="P163" i="1" s="1"/>
  <c r="Q163" i="1" s="1"/>
  <c r="R163" i="1" s="1"/>
  <c r="S163" i="1" s="1"/>
  <c r="O164" i="1"/>
  <c r="P164" i="1" s="1"/>
  <c r="Q164" i="1" s="1"/>
  <c r="R164" i="1" s="1"/>
  <c r="S164" i="1" s="1"/>
  <c r="O165" i="1"/>
  <c r="P165" i="1" s="1"/>
  <c r="Q165" i="1" s="1"/>
  <c r="R165" i="1" s="1"/>
  <c r="S165" i="1" s="1"/>
  <c r="O166" i="1"/>
  <c r="P166" i="1" s="1"/>
  <c r="Q166" i="1" s="1"/>
  <c r="R166" i="1" s="1"/>
  <c r="S166" i="1" s="1"/>
  <c r="O167" i="1"/>
  <c r="P167" i="1" s="1"/>
  <c r="Q167" i="1" s="1"/>
  <c r="R167" i="1" s="1"/>
  <c r="S167" i="1" s="1"/>
  <c r="O168" i="1"/>
  <c r="P168" i="1" s="1"/>
  <c r="Q168" i="1" s="1"/>
  <c r="R168" i="1" s="1"/>
  <c r="S168" i="1" s="1"/>
  <c r="O169" i="1"/>
  <c r="P169" i="1" s="1"/>
  <c r="Q169" i="1" s="1"/>
  <c r="R169" i="1" s="1"/>
  <c r="S169" i="1" s="1"/>
  <c r="O170" i="1"/>
  <c r="P170" i="1" s="1"/>
  <c r="Q170" i="1" s="1"/>
  <c r="R170" i="1" s="1"/>
  <c r="S170" i="1" s="1"/>
  <c r="O171" i="1"/>
  <c r="P171" i="1" s="1"/>
  <c r="Q171" i="1" s="1"/>
  <c r="R171" i="1" s="1"/>
  <c r="S171" i="1" s="1"/>
  <c r="O172" i="1"/>
  <c r="P172" i="1" s="1"/>
  <c r="Q172" i="1" s="1"/>
  <c r="R172" i="1" s="1"/>
  <c r="S172" i="1" s="1"/>
  <c r="O173" i="1"/>
  <c r="P173" i="1" s="1"/>
  <c r="Q173" i="1" s="1"/>
  <c r="R173" i="1" s="1"/>
  <c r="S173" i="1" s="1"/>
  <c r="O174" i="1"/>
  <c r="P174" i="1" s="1"/>
  <c r="Q174" i="1" s="1"/>
  <c r="R174" i="1" s="1"/>
  <c r="S174" i="1" s="1"/>
  <c r="O175" i="1"/>
  <c r="P175" i="1" s="1"/>
  <c r="Q175" i="1" s="1"/>
  <c r="R175" i="1" s="1"/>
  <c r="S175" i="1" s="1"/>
  <c r="O176" i="1"/>
  <c r="P176" i="1" s="1"/>
  <c r="Q176" i="1" s="1"/>
  <c r="R176" i="1" s="1"/>
  <c r="S176" i="1" s="1"/>
  <c r="O177" i="1"/>
  <c r="P177" i="1" s="1"/>
  <c r="Q177" i="1" s="1"/>
  <c r="R177" i="1" s="1"/>
  <c r="S177" i="1" s="1"/>
  <c r="O178" i="1"/>
  <c r="P178" i="1" s="1"/>
  <c r="Q178" i="1" s="1"/>
  <c r="R178" i="1" s="1"/>
  <c r="S178" i="1" s="1"/>
  <c r="O179" i="1"/>
  <c r="P179" i="1" s="1"/>
  <c r="Q179" i="1" s="1"/>
  <c r="R179" i="1" s="1"/>
  <c r="S179" i="1" s="1"/>
  <c r="O180" i="1"/>
  <c r="P180" i="1" s="1"/>
  <c r="Q180" i="1" s="1"/>
  <c r="R180" i="1" s="1"/>
  <c r="S180" i="1" s="1"/>
  <c r="O181" i="1"/>
  <c r="P181" i="1" s="1"/>
  <c r="Q181" i="1" s="1"/>
  <c r="R181" i="1" s="1"/>
  <c r="S181" i="1" s="1"/>
  <c r="O182" i="1"/>
  <c r="P182" i="1" s="1"/>
  <c r="Q182" i="1" s="1"/>
  <c r="R182" i="1" s="1"/>
  <c r="S182" i="1" s="1"/>
  <c r="O183" i="1"/>
  <c r="P183" i="1" s="1"/>
  <c r="Q183" i="1" s="1"/>
  <c r="R183" i="1" s="1"/>
  <c r="S183" i="1" s="1"/>
  <c r="O184" i="1"/>
  <c r="P184" i="1" s="1"/>
  <c r="Q184" i="1" s="1"/>
  <c r="R184" i="1" s="1"/>
  <c r="S184" i="1" s="1"/>
  <c r="O185" i="1"/>
  <c r="P185" i="1" s="1"/>
  <c r="Q185" i="1" s="1"/>
  <c r="R185" i="1" s="1"/>
  <c r="S185" i="1" s="1"/>
  <c r="O186" i="1"/>
  <c r="P186" i="1" s="1"/>
  <c r="Q186" i="1" s="1"/>
  <c r="R186" i="1" s="1"/>
  <c r="S186" i="1" s="1"/>
  <c r="O187" i="1"/>
  <c r="P187" i="1" s="1"/>
  <c r="Q187" i="1" s="1"/>
  <c r="R187" i="1" s="1"/>
  <c r="S187" i="1" s="1"/>
  <c r="O188" i="1"/>
  <c r="P188" i="1" s="1"/>
  <c r="Q188" i="1" s="1"/>
  <c r="R188" i="1" s="1"/>
  <c r="S188" i="1" s="1"/>
  <c r="O189" i="1"/>
  <c r="P189" i="1" s="1"/>
  <c r="Q189" i="1" s="1"/>
  <c r="R189" i="1" s="1"/>
  <c r="S189" i="1" s="1"/>
  <c r="O190" i="1"/>
  <c r="P190" i="1" s="1"/>
  <c r="Q190" i="1" s="1"/>
  <c r="R190" i="1" s="1"/>
  <c r="S190" i="1" s="1"/>
  <c r="O191" i="1"/>
  <c r="P191" i="1" s="1"/>
  <c r="Q191" i="1" s="1"/>
  <c r="R191" i="1" s="1"/>
  <c r="S191" i="1" s="1"/>
  <c r="O192" i="1"/>
  <c r="P192" i="1" s="1"/>
  <c r="Q192" i="1" s="1"/>
  <c r="R192" i="1" s="1"/>
  <c r="S192" i="1" s="1"/>
  <c r="O193" i="1"/>
  <c r="P193" i="1" s="1"/>
  <c r="Q193" i="1" s="1"/>
  <c r="R193" i="1" s="1"/>
  <c r="S193" i="1" s="1"/>
  <c r="O194" i="1"/>
  <c r="P194" i="1" s="1"/>
  <c r="Q194" i="1" s="1"/>
  <c r="R194" i="1" s="1"/>
  <c r="S194" i="1" s="1"/>
  <c r="O195" i="1"/>
  <c r="P195" i="1" s="1"/>
  <c r="Q195" i="1" s="1"/>
  <c r="R195" i="1" s="1"/>
  <c r="S195" i="1" s="1"/>
  <c r="O196" i="1"/>
  <c r="P196" i="1" s="1"/>
  <c r="Q196" i="1" s="1"/>
  <c r="R196" i="1" s="1"/>
  <c r="S196" i="1" s="1"/>
  <c r="O197" i="1"/>
  <c r="P197" i="1" s="1"/>
  <c r="Q197" i="1" s="1"/>
  <c r="R197" i="1" s="1"/>
  <c r="S197" i="1" s="1"/>
  <c r="O198" i="1"/>
  <c r="P198" i="1" s="1"/>
  <c r="Q198" i="1" s="1"/>
  <c r="R198" i="1" s="1"/>
  <c r="S198" i="1" s="1"/>
  <c r="O199" i="1"/>
  <c r="P199" i="1" s="1"/>
  <c r="Q199" i="1" s="1"/>
  <c r="R199" i="1" s="1"/>
  <c r="S199" i="1" s="1"/>
  <c r="O200" i="1"/>
  <c r="P200" i="1" s="1"/>
  <c r="Q200" i="1" s="1"/>
  <c r="R200" i="1" s="1"/>
  <c r="S200" i="1" s="1"/>
  <c r="O201" i="1"/>
  <c r="P201" i="1" s="1"/>
  <c r="Q201" i="1" s="1"/>
  <c r="R201" i="1" s="1"/>
  <c r="S201" i="1" s="1"/>
  <c r="O202" i="1"/>
  <c r="P202" i="1" s="1"/>
  <c r="Q202" i="1" s="1"/>
  <c r="R202" i="1" s="1"/>
  <c r="S202" i="1" s="1"/>
  <c r="O203" i="1"/>
  <c r="P203" i="1" s="1"/>
  <c r="Q203" i="1" s="1"/>
  <c r="R203" i="1" s="1"/>
  <c r="S203" i="1" s="1"/>
  <c r="O204" i="1"/>
  <c r="P204" i="1" s="1"/>
  <c r="Q204" i="1" s="1"/>
  <c r="R204" i="1" s="1"/>
  <c r="S204" i="1" s="1"/>
  <c r="O205" i="1"/>
  <c r="P205" i="1" s="1"/>
  <c r="Q205" i="1" s="1"/>
  <c r="R205" i="1" s="1"/>
  <c r="S205" i="1" s="1"/>
  <c r="O206" i="1"/>
  <c r="P206" i="1" s="1"/>
  <c r="Q206" i="1" s="1"/>
  <c r="R206" i="1" s="1"/>
  <c r="S206" i="1" s="1"/>
  <c r="O207" i="1"/>
  <c r="P207" i="1" s="1"/>
  <c r="Q207" i="1" s="1"/>
  <c r="R207" i="1" s="1"/>
  <c r="S207" i="1" s="1"/>
  <c r="O208" i="1"/>
  <c r="P208" i="1" s="1"/>
  <c r="Q208" i="1" s="1"/>
  <c r="R208" i="1" s="1"/>
  <c r="S208" i="1" s="1"/>
  <c r="O209" i="1"/>
  <c r="P209" i="1" s="1"/>
  <c r="Q209" i="1" s="1"/>
  <c r="R209" i="1" s="1"/>
  <c r="S209" i="1" s="1"/>
  <c r="O210" i="1"/>
  <c r="P210" i="1" s="1"/>
  <c r="Q210" i="1" s="1"/>
  <c r="R210" i="1" s="1"/>
  <c r="S210" i="1" s="1"/>
  <c r="O211" i="1"/>
  <c r="P211" i="1" s="1"/>
  <c r="Q211" i="1" s="1"/>
  <c r="R211" i="1" s="1"/>
  <c r="S211" i="1" s="1"/>
  <c r="O212" i="1"/>
  <c r="P212" i="1" s="1"/>
  <c r="Q212" i="1" s="1"/>
  <c r="R212" i="1" s="1"/>
  <c r="S212" i="1" s="1"/>
  <c r="O213" i="1"/>
  <c r="P213" i="1" s="1"/>
  <c r="Q213" i="1" s="1"/>
  <c r="R213" i="1" s="1"/>
  <c r="S213" i="1" s="1"/>
  <c r="O214" i="1"/>
  <c r="P214" i="1" s="1"/>
  <c r="Q214" i="1" s="1"/>
  <c r="R214" i="1" s="1"/>
  <c r="S214" i="1" s="1"/>
  <c r="O215" i="1"/>
  <c r="P215" i="1" s="1"/>
  <c r="Q215" i="1" s="1"/>
  <c r="R215" i="1" s="1"/>
  <c r="S215" i="1" s="1"/>
  <c r="O216" i="1"/>
  <c r="P216" i="1" s="1"/>
  <c r="Q216" i="1" s="1"/>
  <c r="R216" i="1" s="1"/>
  <c r="S216" i="1" s="1"/>
  <c r="O217" i="1"/>
  <c r="P217" i="1" s="1"/>
  <c r="Q217" i="1" s="1"/>
  <c r="R217" i="1" s="1"/>
  <c r="S217" i="1" s="1"/>
  <c r="O218" i="1"/>
  <c r="P218" i="1" s="1"/>
  <c r="Q218" i="1" s="1"/>
  <c r="R218" i="1" s="1"/>
  <c r="S218" i="1" s="1"/>
  <c r="O219" i="1"/>
  <c r="P219" i="1" s="1"/>
  <c r="Q219" i="1" s="1"/>
  <c r="R219" i="1" s="1"/>
  <c r="S219" i="1" s="1"/>
  <c r="O220" i="1"/>
  <c r="P220" i="1" s="1"/>
  <c r="Q220" i="1" s="1"/>
  <c r="R220" i="1" s="1"/>
  <c r="S220" i="1" s="1"/>
  <c r="O221" i="1"/>
  <c r="P221" i="1" s="1"/>
  <c r="Q221" i="1" s="1"/>
  <c r="R221" i="1" s="1"/>
  <c r="S221" i="1" s="1"/>
  <c r="O222" i="1"/>
  <c r="P222" i="1" s="1"/>
  <c r="Q222" i="1" s="1"/>
  <c r="R222" i="1" s="1"/>
  <c r="S222" i="1" s="1"/>
  <c r="O223" i="1"/>
  <c r="P223" i="1" s="1"/>
  <c r="Q223" i="1" s="1"/>
  <c r="R223" i="1" s="1"/>
  <c r="S223" i="1" s="1"/>
  <c r="O224" i="1"/>
  <c r="P224" i="1" s="1"/>
  <c r="Q224" i="1" s="1"/>
  <c r="R224" i="1" s="1"/>
  <c r="S224" i="1" s="1"/>
  <c r="O225" i="1"/>
  <c r="P225" i="1" s="1"/>
  <c r="Q225" i="1" s="1"/>
  <c r="R225" i="1" s="1"/>
  <c r="S225" i="1" s="1"/>
  <c r="O226" i="1"/>
  <c r="P226" i="1" s="1"/>
  <c r="Q226" i="1" s="1"/>
  <c r="R226" i="1" s="1"/>
  <c r="S226" i="1" s="1"/>
  <c r="O227" i="1"/>
  <c r="P227" i="1" s="1"/>
  <c r="Q227" i="1" s="1"/>
  <c r="R227" i="1" s="1"/>
  <c r="S227" i="1" s="1"/>
  <c r="O228" i="1"/>
  <c r="P228" i="1" s="1"/>
  <c r="Q228" i="1" s="1"/>
  <c r="R228" i="1" s="1"/>
  <c r="S228" i="1" s="1"/>
  <c r="O229" i="1"/>
  <c r="P229" i="1" s="1"/>
  <c r="Q229" i="1" s="1"/>
  <c r="R229" i="1" s="1"/>
  <c r="S229" i="1" s="1"/>
  <c r="O230" i="1"/>
  <c r="P230" i="1" s="1"/>
  <c r="Q230" i="1" s="1"/>
  <c r="R230" i="1" s="1"/>
  <c r="S230" i="1" s="1"/>
  <c r="O231" i="1"/>
  <c r="P231" i="1" s="1"/>
  <c r="Q231" i="1" s="1"/>
  <c r="R231" i="1" s="1"/>
  <c r="S231" i="1" s="1"/>
  <c r="O232" i="1"/>
  <c r="P232" i="1" s="1"/>
  <c r="Q232" i="1" s="1"/>
  <c r="R232" i="1" s="1"/>
  <c r="S232" i="1" s="1"/>
  <c r="O233" i="1"/>
  <c r="P233" i="1" s="1"/>
  <c r="Q233" i="1" s="1"/>
  <c r="R233" i="1" s="1"/>
  <c r="S233" i="1" s="1"/>
  <c r="O234" i="1"/>
  <c r="P234" i="1" s="1"/>
  <c r="Q234" i="1" s="1"/>
  <c r="R234" i="1" s="1"/>
  <c r="S234" i="1" s="1"/>
  <c r="O235" i="1"/>
  <c r="P235" i="1" s="1"/>
  <c r="Q235" i="1" s="1"/>
  <c r="R235" i="1" s="1"/>
  <c r="S235" i="1" s="1"/>
  <c r="O236" i="1"/>
  <c r="P236" i="1" s="1"/>
  <c r="Q236" i="1" s="1"/>
  <c r="R236" i="1" s="1"/>
  <c r="S236" i="1" s="1"/>
  <c r="O237" i="1"/>
  <c r="P237" i="1" s="1"/>
  <c r="Q237" i="1" s="1"/>
  <c r="R237" i="1" s="1"/>
  <c r="S237" i="1" s="1"/>
  <c r="O238" i="1"/>
  <c r="P238" i="1" s="1"/>
  <c r="Q238" i="1" s="1"/>
  <c r="R238" i="1" s="1"/>
  <c r="S238" i="1" s="1"/>
  <c r="O239" i="1"/>
  <c r="P239" i="1" s="1"/>
  <c r="Q239" i="1" s="1"/>
  <c r="R239" i="1" s="1"/>
  <c r="S239" i="1" s="1"/>
  <c r="O240" i="1"/>
  <c r="P240" i="1" s="1"/>
  <c r="Q240" i="1" s="1"/>
  <c r="R240" i="1" s="1"/>
  <c r="S240" i="1" s="1"/>
  <c r="O241" i="1"/>
  <c r="P241" i="1" s="1"/>
  <c r="Q241" i="1" s="1"/>
  <c r="R241" i="1" s="1"/>
  <c r="S241" i="1" s="1"/>
  <c r="O242" i="1"/>
  <c r="P242" i="1" s="1"/>
  <c r="Q242" i="1" s="1"/>
  <c r="R242" i="1" s="1"/>
  <c r="S242" i="1" s="1"/>
  <c r="O243" i="1"/>
  <c r="P243" i="1" s="1"/>
  <c r="Q243" i="1" s="1"/>
  <c r="R243" i="1" s="1"/>
  <c r="S243" i="1" s="1"/>
  <c r="O244" i="1"/>
  <c r="P244" i="1" s="1"/>
  <c r="Q244" i="1" s="1"/>
  <c r="R244" i="1" s="1"/>
  <c r="S244" i="1" s="1"/>
  <c r="O245" i="1"/>
  <c r="P245" i="1" s="1"/>
  <c r="Q245" i="1" s="1"/>
  <c r="R245" i="1" s="1"/>
  <c r="S245" i="1" s="1"/>
  <c r="O246" i="1"/>
  <c r="P246" i="1" s="1"/>
  <c r="Q246" i="1" s="1"/>
  <c r="R246" i="1" s="1"/>
  <c r="S246" i="1" s="1"/>
  <c r="O247" i="1"/>
  <c r="P247" i="1" s="1"/>
  <c r="Q247" i="1" s="1"/>
  <c r="R247" i="1" s="1"/>
  <c r="S247" i="1" s="1"/>
  <c r="O248" i="1"/>
  <c r="P248" i="1" s="1"/>
  <c r="Q248" i="1" s="1"/>
  <c r="R248" i="1" s="1"/>
  <c r="S248" i="1" s="1"/>
  <c r="O249" i="1"/>
  <c r="P249" i="1" s="1"/>
  <c r="Q249" i="1" s="1"/>
  <c r="R249" i="1" s="1"/>
  <c r="S249" i="1" s="1"/>
  <c r="O250" i="1"/>
  <c r="P250" i="1" s="1"/>
  <c r="Q250" i="1" s="1"/>
  <c r="R250" i="1" s="1"/>
  <c r="S250" i="1" s="1"/>
  <c r="O251" i="1"/>
  <c r="P251" i="1" s="1"/>
  <c r="Q251" i="1" s="1"/>
  <c r="R251" i="1" s="1"/>
  <c r="S251" i="1" s="1"/>
  <c r="O252" i="1"/>
  <c r="P252" i="1" s="1"/>
  <c r="Q252" i="1" s="1"/>
  <c r="R252" i="1" s="1"/>
  <c r="S252" i="1" s="1"/>
  <c r="O253" i="1"/>
  <c r="P253" i="1" s="1"/>
  <c r="Q253" i="1" s="1"/>
  <c r="R253" i="1" s="1"/>
  <c r="S253" i="1" s="1"/>
  <c r="O254" i="1"/>
  <c r="P254" i="1" s="1"/>
  <c r="Q254" i="1" s="1"/>
  <c r="R254" i="1" s="1"/>
  <c r="S254" i="1" s="1"/>
  <c r="O255" i="1"/>
  <c r="P255" i="1" s="1"/>
  <c r="Q255" i="1" s="1"/>
  <c r="R255" i="1" s="1"/>
  <c r="S255" i="1" s="1"/>
  <c r="O256" i="1"/>
  <c r="P256" i="1" s="1"/>
  <c r="Q256" i="1" s="1"/>
  <c r="R256" i="1" s="1"/>
  <c r="S256" i="1" s="1"/>
  <c r="O257" i="1"/>
  <c r="P257" i="1" s="1"/>
  <c r="Q257" i="1" s="1"/>
  <c r="R257" i="1" s="1"/>
  <c r="S257" i="1" s="1"/>
  <c r="O258" i="1"/>
  <c r="P258" i="1" s="1"/>
  <c r="Q258" i="1" s="1"/>
  <c r="R258" i="1" s="1"/>
  <c r="S258" i="1" s="1"/>
  <c r="O259" i="1"/>
  <c r="P259" i="1" s="1"/>
  <c r="Q259" i="1" s="1"/>
  <c r="R259" i="1" s="1"/>
  <c r="S259" i="1" s="1"/>
  <c r="O260" i="1"/>
  <c r="P260" i="1" s="1"/>
  <c r="Q260" i="1" s="1"/>
  <c r="R260" i="1" s="1"/>
  <c r="S260" i="1" s="1"/>
  <c r="O261" i="1"/>
  <c r="P261" i="1" s="1"/>
  <c r="Q261" i="1" s="1"/>
  <c r="R261" i="1" s="1"/>
  <c r="S261" i="1" s="1"/>
  <c r="O262" i="1"/>
  <c r="P262" i="1" s="1"/>
  <c r="Q262" i="1" s="1"/>
  <c r="R262" i="1" s="1"/>
  <c r="S262" i="1" s="1"/>
  <c r="O263" i="1"/>
  <c r="P263" i="1" s="1"/>
  <c r="Q263" i="1" s="1"/>
  <c r="R263" i="1" s="1"/>
  <c r="S263" i="1" s="1"/>
  <c r="O264" i="1"/>
  <c r="P264" i="1" s="1"/>
  <c r="Q264" i="1" s="1"/>
  <c r="R264" i="1" s="1"/>
  <c r="S264" i="1" s="1"/>
  <c r="O265" i="1"/>
  <c r="P265" i="1" s="1"/>
  <c r="Q265" i="1" s="1"/>
  <c r="R265" i="1" s="1"/>
  <c r="S265" i="1" s="1"/>
  <c r="O266" i="1"/>
  <c r="P266" i="1" s="1"/>
  <c r="Q266" i="1" s="1"/>
  <c r="R266" i="1" s="1"/>
  <c r="S266" i="1" s="1"/>
  <c r="O267" i="1"/>
  <c r="P267" i="1" s="1"/>
  <c r="Q267" i="1" s="1"/>
  <c r="R267" i="1" s="1"/>
  <c r="S267" i="1" s="1"/>
  <c r="O268" i="1"/>
  <c r="P268" i="1" s="1"/>
  <c r="Q268" i="1" s="1"/>
  <c r="R268" i="1" s="1"/>
  <c r="S268" i="1" s="1"/>
  <c r="O269" i="1"/>
  <c r="P269" i="1" s="1"/>
  <c r="Q269" i="1" s="1"/>
  <c r="R269" i="1" s="1"/>
  <c r="S269" i="1" s="1"/>
  <c r="O270" i="1"/>
  <c r="P270" i="1" s="1"/>
  <c r="Q270" i="1" s="1"/>
  <c r="R270" i="1" s="1"/>
  <c r="S270" i="1" s="1"/>
  <c r="O271" i="1"/>
  <c r="P271" i="1" s="1"/>
  <c r="Q271" i="1" s="1"/>
  <c r="R271" i="1" s="1"/>
  <c r="S271" i="1" s="1"/>
  <c r="O272" i="1"/>
  <c r="P272" i="1" s="1"/>
  <c r="Q272" i="1" s="1"/>
  <c r="R272" i="1" s="1"/>
  <c r="S272" i="1" s="1"/>
  <c r="O273" i="1"/>
  <c r="P273" i="1" s="1"/>
  <c r="Q273" i="1" s="1"/>
  <c r="R273" i="1" s="1"/>
  <c r="S273" i="1" s="1"/>
  <c r="O274" i="1"/>
  <c r="P274" i="1" s="1"/>
  <c r="Q274" i="1" s="1"/>
  <c r="R274" i="1" s="1"/>
  <c r="S274" i="1" s="1"/>
  <c r="O275" i="1"/>
  <c r="P275" i="1" s="1"/>
  <c r="Q275" i="1" s="1"/>
  <c r="R275" i="1" s="1"/>
  <c r="S275" i="1" s="1"/>
  <c r="O276" i="1"/>
  <c r="P276" i="1" s="1"/>
  <c r="Q276" i="1" s="1"/>
  <c r="R276" i="1" s="1"/>
  <c r="S276" i="1" s="1"/>
  <c r="O277" i="1"/>
  <c r="P277" i="1" s="1"/>
  <c r="Q277" i="1" s="1"/>
  <c r="R277" i="1" s="1"/>
  <c r="S277" i="1" s="1"/>
  <c r="O278" i="1"/>
  <c r="P278" i="1" s="1"/>
  <c r="Q278" i="1" s="1"/>
  <c r="R278" i="1" s="1"/>
  <c r="S278" i="1" s="1"/>
  <c r="O279" i="1"/>
  <c r="P279" i="1" s="1"/>
  <c r="Q279" i="1" s="1"/>
  <c r="R279" i="1" s="1"/>
  <c r="S279" i="1" s="1"/>
  <c r="O280" i="1"/>
  <c r="P280" i="1" s="1"/>
  <c r="Q280" i="1" s="1"/>
  <c r="R280" i="1" s="1"/>
  <c r="S280" i="1" s="1"/>
  <c r="O281" i="1"/>
  <c r="P281" i="1" s="1"/>
  <c r="Q281" i="1" s="1"/>
  <c r="R281" i="1" s="1"/>
  <c r="S281" i="1" s="1"/>
  <c r="O282" i="1"/>
  <c r="P282" i="1" s="1"/>
  <c r="Q282" i="1" s="1"/>
  <c r="R282" i="1" s="1"/>
  <c r="S282" i="1" s="1"/>
  <c r="O283" i="1"/>
  <c r="P283" i="1" s="1"/>
  <c r="Q283" i="1" s="1"/>
  <c r="R283" i="1" s="1"/>
  <c r="S283" i="1" s="1"/>
  <c r="O284" i="1"/>
  <c r="P284" i="1" s="1"/>
  <c r="Q284" i="1" s="1"/>
  <c r="R284" i="1" s="1"/>
  <c r="S284" i="1" s="1"/>
  <c r="O285" i="1"/>
  <c r="P285" i="1" s="1"/>
  <c r="Q285" i="1" s="1"/>
  <c r="R285" i="1" s="1"/>
  <c r="S285" i="1" s="1"/>
  <c r="O286" i="1"/>
  <c r="P286" i="1" s="1"/>
  <c r="Q286" i="1" s="1"/>
  <c r="R286" i="1" s="1"/>
  <c r="S286" i="1" s="1"/>
  <c r="O287" i="1"/>
  <c r="P287" i="1" s="1"/>
  <c r="Q287" i="1" s="1"/>
  <c r="R287" i="1" s="1"/>
  <c r="S287" i="1" s="1"/>
  <c r="O288" i="1"/>
  <c r="P288" i="1" s="1"/>
  <c r="Q288" i="1" s="1"/>
  <c r="R288" i="1" s="1"/>
  <c r="S288" i="1" s="1"/>
  <c r="O289" i="1"/>
  <c r="P289" i="1" s="1"/>
  <c r="Q289" i="1" s="1"/>
  <c r="R289" i="1" s="1"/>
  <c r="S289" i="1" s="1"/>
  <c r="O290" i="1"/>
  <c r="P290" i="1" s="1"/>
  <c r="Q290" i="1" s="1"/>
  <c r="R290" i="1" s="1"/>
  <c r="S290" i="1" s="1"/>
  <c r="O291" i="1"/>
  <c r="P291" i="1" s="1"/>
  <c r="Q291" i="1" s="1"/>
  <c r="R291" i="1" s="1"/>
  <c r="S291" i="1" s="1"/>
  <c r="O292" i="1"/>
  <c r="P292" i="1" s="1"/>
  <c r="Q292" i="1" s="1"/>
  <c r="R292" i="1" s="1"/>
  <c r="S292" i="1" s="1"/>
  <c r="O293" i="1"/>
  <c r="P293" i="1" s="1"/>
  <c r="Q293" i="1" s="1"/>
  <c r="R293" i="1" s="1"/>
  <c r="S293" i="1" s="1"/>
  <c r="O294" i="1"/>
  <c r="P294" i="1" s="1"/>
  <c r="Q294" i="1" s="1"/>
  <c r="R294" i="1" s="1"/>
  <c r="S294" i="1" s="1"/>
  <c r="O295" i="1"/>
  <c r="P295" i="1" s="1"/>
  <c r="Q295" i="1" s="1"/>
  <c r="R295" i="1" s="1"/>
  <c r="S295" i="1" s="1"/>
  <c r="O296" i="1"/>
  <c r="P296" i="1" s="1"/>
  <c r="Q296" i="1" s="1"/>
  <c r="R296" i="1" s="1"/>
  <c r="S296" i="1" s="1"/>
  <c r="O297" i="1"/>
  <c r="P297" i="1" s="1"/>
  <c r="Q297" i="1" s="1"/>
  <c r="R297" i="1" s="1"/>
  <c r="S297" i="1" s="1"/>
  <c r="O298" i="1"/>
  <c r="P298" i="1" s="1"/>
  <c r="Q298" i="1" s="1"/>
  <c r="R298" i="1" s="1"/>
  <c r="S298" i="1" s="1"/>
  <c r="O299" i="1"/>
  <c r="P299" i="1" s="1"/>
  <c r="Q299" i="1" s="1"/>
  <c r="R299" i="1" s="1"/>
  <c r="S299" i="1" s="1"/>
  <c r="O300" i="1"/>
  <c r="P300" i="1" s="1"/>
  <c r="Q300" i="1" s="1"/>
  <c r="R300" i="1" s="1"/>
  <c r="S300" i="1" s="1"/>
  <c r="O301" i="1"/>
  <c r="P301" i="1" s="1"/>
  <c r="Q301" i="1" s="1"/>
  <c r="R301" i="1" s="1"/>
  <c r="S301" i="1" s="1"/>
  <c r="O302" i="1"/>
  <c r="P302" i="1" s="1"/>
  <c r="Q302" i="1" s="1"/>
  <c r="R302" i="1" s="1"/>
  <c r="S302" i="1" s="1"/>
  <c r="O6" i="1"/>
  <c r="P6" i="1" s="1"/>
  <c r="Q6" i="1" s="1"/>
  <c r="S6" i="1" s="1"/>
  <c r="E6" i="2"/>
  <c r="G4" i="2"/>
  <c r="G5" i="2" s="1"/>
  <c r="G6" i="2" s="1"/>
  <c r="F4" i="2"/>
  <c r="F5" i="2" s="1"/>
  <c r="F6" i="2" s="1"/>
  <c r="E3" i="2"/>
  <c r="E4" i="2" s="1"/>
  <c r="E5" i="2" s="1"/>
  <c r="Y5" i="1" l="1"/>
  <c r="S2" i="1"/>
  <c r="Z5" i="1" l="1"/>
  <c r="Y6" i="1"/>
  <c r="Z6" i="1"/>
  <c r="Z7" i="1" l="1"/>
  <c r="AA6" i="1"/>
  <c r="Z12" i="1" s="1"/>
  <c r="AG3" i="1" s="1"/>
  <c r="AA5" i="1"/>
  <c r="Z14" i="1" s="1"/>
  <c r="Y7" i="1"/>
  <c r="Z11" i="1" s="1"/>
  <c r="Z15" i="1" l="1"/>
  <c r="Z10" i="1"/>
  <c r="AF3" i="1" s="1"/>
  <c r="AA7" i="1"/>
  <c r="Z9" i="1" s="1"/>
  <c r="AE3" i="1" s="1"/>
</calcChain>
</file>

<file path=xl/sharedStrings.xml><?xml version="1.0" encoding="utf-8"?>
<sst xmlns="http://schemas.openxmlformats.org/spreadsheetml/2006/main" count="89" uniqueCount="74">
  <si>
    <t>Intercept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</si>
  <si>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</si>
  <si>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</si>
  <si>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</si>
  <si>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</si>
  <si>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</si>
  <si>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</si>
  <si>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</si>
  <si>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</si>
  <si>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</si>
  <si>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</si>
  <si>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</si>
  <si>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</si>
  <si>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b13</t>
  </si>
  <si>
    <t>Sum of the log likelihoods</t>
  </si>
  <si>
    <t>Predicted</t>
  </si>
  <si>
    <t>Cutoff</t>
  </si>
  <si>
    <t>Accuracy</t>
  </si>
  <si>
    <t>Precision</t>
  </si>
  <si>
    <t>Recall</t>
  </si>
  <si>
    <t>FP</t>
  </si>
  <si>
    <t>TP</t>
  </si>
  <si>
    <t>Actual</t>
  </si>
  <si>
    <t>age</t>
  </si>
  <si>
    <t>gender</t>
  </si>
  <si>
    <t>cp</t>
  </si>
  <si>
    <t>fbs</t>
  </si>
  <si>
    <t>thalach</t>
  </si>
  <si>
    <t>exang</t>
  </si>
  <si>
    <t>oldpeak</t>
  </si>
  <si>
    <t>slope</t>
  </si>
  <si>
    <t>ca</t>
  </si>
  <si>
    <t>thal</t>
  </si>
  <si>
    <t>Logit</t>
  </si>
  <si>
    <t>Odds</t>
  </si>
  <si>
    <t>Probability of Heart Failure</t>
  </si>
  <si>
    <t>Probability of a Correct Match</t>
  </si>
  <si>
    <t>Log Likelihood</t>
  </si>
  <si>
    <t>Predicted Classification</t>
  </si>
  <si>
    <t>Total</t>
  </si>
  <si>
    <t>TP Rate</t>
  </si>
  <si>
    <t>FP Rate</t>
  </si>
  <si>
    <t>P</t>
  </si>
  <si>
    <t>Q</t>
  </si>
  <si>
    <t>=1-P</t>
  </si>
  <si>
    <t>Failure</t>
  </si>
  <si>
    <t>Success</t>
  </si>
  <si>
    <t>SLR</t>
  </si>
  <si>
    <t>=Y</t>
  </si>
  <si>
    <t>b0= intercept, b1 = slope</t>
  </si>
  <si>
    <t>P =[Odds/(1+Odds)]</t>
  </si>
  <si>
    <t>Logs(Odds)</t>
  </si>
  <si>
    <t>trest_bps</t>
  </si>
  <si>
    <t>cholesterol</t>
  </si>
  <si>
    <t>rest_ecg</t>
  </si>
  <si>
    <t>Odds = e(Logit)</t>
  </si>
  <si>
    <t>Odds/Probability, Logit Y = b0+b1*X</t>
  </si>
  <si>
    <t>Logit = b0+b1*X</t>
  </si>
  <si>
    <t>Log(a,b,c) = (log a +log b+ log c)</t>
  </si>
  <si>
    <t>Max(Log (-----))</t>
  </si>
  <si>
    <t>actual heart disease</t>
  </si>
  <si>
    <t>TN</t>
  </si>
  <si>
    <t>FN</t>
  </si>
  <si>
    <t xml:space="preserve">Confusion Matrix </t>
  </si>
  <si>
    <t>=(TP+TN)/Total</t>
  </si>
  <si>
    <t>=TN/(FP+TN)</t>
  </si>
  <si>
    <t>=TP/(FN+TP)</t>
  </si>
  <si>
    <t>=TN/(FN+TN)</t>
  </si>
  <si>
    <t>=TP/(FP+TP)</t>
  </si>
  <si>
    <t>Recall/ Sensitivity</t>
  </si>
  <si>
    <t>cut-off (Alpha)</t>
  </si>
  <si>
    <t>F =0</t>
  </si>
  <si>
    <t>T=1</t>
  </si>
  <si>
    <t>F=0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</si>
</sst>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00"/>
    <numFmt numFmtId="165" formatCode="#,##0.000"/>
    <numFmt numFmtId="166" formatCode="0.000"/>
    <numFmt numFmtId="167" formatCode="0.000000"/>
    <numFmt numFmtId="168" formatCode="0.000%"/>
  </numFmts>
  <fonts count="7" x14ac:knownFonts="1">
    <font>
      <sz val="10"/>
      <color rgb="FF000000"/>
      <name val="Arial"/>
    </font>
    <font>
      <sz val="11"/>
      <color rgb="FF000000"/>
      <name val="Calibri"/>
      <family val="2"/>
    </font>
    <font>
      <sz val="20"/>
      <color rgb="FF000000"/>
      <name val="Arial"/>
      <family val="2"/>
    </font>
    <font>
      <b/>
      <sz val="20"/>
      <color rgb="FF000000"/>
      <name val="Arial"/>
      <family val="2"/>
    </font>
    <font>
      <sz val="10"/>
      <color rgb="FF000000"/>
      <name val="Arial"/>
      <family val="2"/>
    </font>
    <font>
      <b/>
      <sz val="14"/>
      <color rgb="FF000000"/>
      <name val="Arial"/>
      <family val="2"/>
    </font>
    <font>
      <b/>
      <sz val="11"/>
      <color theme="4" tint="-0.499984740745262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D966"/>
        <bgColor rgb="FFFFD966"/>
      </patternFill>
    </fill>
    <fill>
      <patternFill patternType="solid">
        <fgColor rgb="FFFFFF00"/>
        <bgColor rgb="FFFFFF00"/>
      </patternFill>
    </fill>
    <fill>
      <patternFill patternType="solid">
        <fgColor rgb="FFC6E0B4"/>
        <bgColor rgb="FFC6E0B4"/>
      </patternFill>
    </fill>
    <fill>
      <patternFill patternType="solid">
        <fgColor rgb="FF9BC2E6"/>
        <bgColor rgb="FF9BC2E6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45">
    <xf numFmtId="0" fontId="0" fillId="0" borderId="0" xfId="0" applyFont="1" applyAlignment="1"/>
    <xf numFmtId="0" fontId="1" fillId="0" borderId="1" xfId="0" applyFont="1" applyBorder="1" applyAlignment="1"/>
    <xf numFmtId="0" fontId="1" fillId="0" borderId="2" xfId="0" applyFont="1" applyBorder="1" applyAlignment="1"/>
    <xf numFmtId="0" fontId="1" fillId="0" borderId="0" xfId="0" applyFont="1" applyAlignment="1"/>
    <xf numFmtId="0" fontId="1" fillId="2" borderId="2" xfId="0" applyFont="1" applyFill="1" applyBorder="1" applyAlignment="1"/>
    <xf numFmtId="0" fontId="1" fillId="0" borderId="0" xfId="0" applyFont="1" applyAlignment="1"/>
    <xf numFmtId="0" fontId="1" fillId="3" borderId="3" xfId="0" applyFont="1" applyFill="1" applyBorder="1" applyAlignment="1"/>
    <xf numFmtId="0" fontId="1" fillId="3" borderId="4" xfId="0" applyFont="1" applyFill="1" applyBorder="1" applyAlignment="1"/>
    <xf numFmtId="0" fontId="1" fillId="0" borderId="0" xfId="0" applyFont="1" applyAlignment="1">
      <alignment horizontal="right"/>
    </xf>
    <xf numFmtId="0" fontId="1" fillId="0" borderId="3" xfId="0" applyFont="1" applyBorder="1" applyAlignment="1"/>
    <xf numFmtId="0" fontId="1" fillId="0" borderId="4" xfId="0" applyFont="1" applyBorder="1" applyAlignment="1"/>
    <xf numFmtId="0" fontId="1" fillId="4" borderId="1" xfId="0" applyFont="1" applyFill="1" applyBorder="1" applyAlignment="1"/>
    <xf numFmtId="0" fontId="1" fillId="0" borderId="3" xfId="0" applyFont="1" applyBorder="1" applyAlignment="1">
      <alignment horizontal="right"/>
    </xf>
    <xf numFmtId="0" fontId="1" fillId="2" borderId="3" xfId="0" applyFont="1" applyFill="1" applyBorder="1" applyAlignment="1"/>
    <xf numFmtId="0" fontId="1" fillId="5" borderId="4" xfId="0" applyFont="1" applyFill="1" applyBorder="1" applyAlignment="1"/>
    <xf numFmtId="0" fontId="1" fillId="0" borderId="0" xfId="0" applyFont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1" fillId="4" borderId="4" xfId="0" applyFont="1" applyFill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0" fillId="0" borderId="0" xfId="0" applyFont="1" applyAlignment="1">
      <alignment horizontal="center"/>
    </xf>
    <xf numFmtId="0" fontId="2" fillId="0" borderId="0" xfId="0" applyFont="1" applyAlignment="1"/>
    <xf numFmtId="0" fontId="3" fillId="0" borderId="0" xfId="0" applyFont="1" applyAlignment="1"/>
    <xf numFmtId="0" fontId="2" fillId="0" borderId="0" xfId="0" quotePrefix="1" applyFont="1" applyAlignment="1"/>
    <xf numFmtId="164" fontId="2" fillId="0" borderId="0" xfId="0" applyNumberFormat="1" applyFont="1" applyAlignment="1"/>
    <xf numFmtId="165" fontId="2" fillId="0" borderId="0" xfId="0" applyNumberFormat="1" applyFont="1" applyAlignment="1"/>
    <xf numFmtId="165" fontId="0" fillId="0" borderId="0" xfId="0" applyNumberFormat="1" applyFont="1" applyAlignment="1"/>
    <xf numFmtId="164" fontId="0" fillId="0" borderId="0" xfId="0" applyNumberFormat="1" applyFont="1" applyAlignment="1"/>
    <xf numFmtId="0" fontId="2" fillId="0" borderId="0" xfId="0" applyNumberFormat="1" applyFont="1" applyAlignment="1"/>
    <xf numFmtId="166" fontId="1" fillId="0" borderId="0" xfId="0" applyNumberFormat="1" applyFont="1" applyAlignment="1"/>
    <xf numFmtId="167" fontId="1" fillId="3" borderId="4" xfId="0" applyNumberFormat="1" applyFont="1" applyFill="1" applyBorder="1" applyAlignment="1"/>
    <xf numFmtId="0" fontId="1" fillId="0" borderId="0" xfId="0" applyFont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1" fillId="0" borderId="0" xfId="0" quotePrefix="1" applyFont="1" applyAlignment="1"/>
    <xf numFmtId="10" fontId="1" fillId="0" borderId="0" xfId="1" applyNumberFormat="1" applyFont="1" applyAlignment="1"/>
    <xf numFmtId="168" fontId="1" fillId="0" borderId="0" xfId="1" applyNumberFormat="1" applyFont="1" applyAlignment="1"/>
    <xf numFmtId="0" fontId="6" fillId="0" borderId="6" xfId="0" applyFont="1" applyBorder="1" applyAlignment="1">
      <alignment horizontal="right"/>
    </xf>
    <xf numFmtId="168" fontId="6" fillId="0" borderId="7" xfId="1" applyNumberFormat="1" applyFont="1" applyBorder="1" applyAlignment="1">
      <alignment horizontal="center"/>
    </xf>
    <xf numFmtId="168" fontId="1" fillId="0" borderId="5" xfId="1" applyNumberFormat="1" applyFont="1" applyBorder="1" applyAlignment="1">
      <alignment horizontal="right"/>
    </xf>
    <xf numFmtId="168" fontId="1" fillId="0" borderId="5" xfId="1" applyNumberFormat="1" applyFont="1" applyBorder="1" applyAlignment="1"/>
    <xf numFmtId="0" fontId="1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15029155730533686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Sheet1!$AE$2</c:f>
              <c:strCache>
                <c:ptCount val="1"/>
                <c:pt idx="0">
                  <c:v>Accuracy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Sheet1!$AD$3:$AD$14</c:f>
              <c:numCache>
                <c:formatCode>General</c:formatCode>
                <c:ptCount val="12"/>
                <c:pt idx="1">
                  <c:v>0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0.4</c:v>
                </c:pt>
                <c:pt idx="6">
                  <c:v>0.5</c:v>
                </c:pt>
                <c:pt idx="7">
                  <c:v>0.6</c:v>
                </c:pt>
                <c:pt idx="8">
                  <c:v>0.7</c:v>
                </c:pt>
                <c:pt idx="9">
                  <c:v>0.8</c:v>
                </c:pt>
                <c:pt idx="10">
                  <c:v>0.9</c:v>
                </c:pt>
                <c:pt idx="11">
                  <c:v>1</c:v>
                </c:pt>
              </c:numCache>
            </c:numRef>
          </c:xVal>
          <c:yVal>
            <c:numRef>
              <c:f>Sheet1!$AE$3:$AE$14</c:f>
              <c:numCache>
                <c:formatCode>0.000%</c:formatCode>
                <c:ptCount val="12"/>
                <c:pt idx="0">
                  <c:v>0.48484848484848486</c:v>
                </c:pt>
                <c:pt idx="1">
                  <c:v>0.45791245791245794</c:v>
                </c:pt>
                <c:pt idx="2">
                  <c:v>0.48484848484848486</c:v>
                </c:pt>
                <c:pt idx="3">
                  <c:v>0.48821548821548821</c:v>
                </c:pt>
                <c:pt idx="4">
                  <c:v>0.49831649831649832</c:v>
                </c:pt>
                <c:pt idx="5">
                  <c:v>0.50505050505050508</c:v>
                </c:pt>
                <c:pt idx="6">
                  <c:v>0.51515151515151514</c:v>
                </c:pt>
                <c:pt idx="7">
                  <c:v>0.51851851851851849</c:v>
                </c:pt>
                <c:pt idx="8">
                  <c:v>0.51178451178451179</c:v>
                </c:pt>
                <c:pt idx="9">
                  <c:v>0.52188552188552184</c:v>
                </c:pt>
                <c:pt idx="10">
                  <c:v>0.51515151515151514</c:v>
                </c:pt>
                <c:pt idx="11">
                  <c:v>0.53535353535353536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7E4-4750-A799-1C607CD5EF75}"/>
            </c:ext>
          </c:extLst>
        </c:ser>
        <c:ser>
          <c:idx val="1"/>
          <c:order val="1"/>
          <c:tx>
            <c:strRef>
              <c:f>Sheet1!$AF$2</c:f>
              <c:strCache>
                <c:ptCount val="1"/>
                <c:pt idx="0">
                  <c:v>Precision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Sheet1!$AD$3:$AD$14</c:f>
              <c:numCache>
                <c:formatCode>General</c:formatCode>
                <c:ptCount val="12"/>
                <c:pt idx="1">
                  <c:v>0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0.4</c:v>
                </c:pt>
                <c:pt idx="6">
                  <c:v>0.5</c:v>
                </c:pt>
                <c:pt idx="7">
                  <c:v>0.6</c:v>
                </c:pt>
                <c:pt idx="8">
                  <c:v>0.7</c:v>
                </c:pt>
                <c:pt idx="9">
                  <c:v>0.8</c:v>
                </c:pt>
                <c:pt idx="10">
                  <c:v>0.9</c:v>
                </c:pt>
                <c:pt idx="11">
                  <c:v>1</c:v>
                </c:pt>
              </c:numCache>
            </c:numRef>
          </c:xVal>
          <c:yVal>
            <c:numRef>
              <c:f>Sheet1!$AF$3:$AF$14</c:f>
              <c:numCache>
                <c:formatCode>0.000%</c:formatCode>
                <c:ptCount val="12"/>
                <c:pt idx="0">
                  <c:v>0.54545454545454541</c:v>
                </c:pt>
                <c:pt idx="1">
                  <c:v>0.33333333333333331</c:v>
                </c:pt>
                <c:pt idx="2">
                  <c:v>0.54545454545454541</c:v>
                </c:pt>
                <c:pt idx="3">
                  <c:v>0.53448275862068961</c:v>
                </c:pt>
                <c:pt idx="4">
                  <c:v>0.53793103448275859</c:v>
                </c:pt>
                <c:pt idx="5">
                  <c:v>0.54140127388535031</c:v>
                </c:pt>
                <c:pt idx="6">
                  <c:v>0.54819277108433739</c:v>
                </c:pt>
                <c:pt idx="7">
                  <c:v>0.54748603351955305</c:v>
                </c:pt>
                <c:pt idx="8">
                  <c:v>0.53926701570680624</c:v>
                </c:pt>
                <c:pt idx="9">
                  <c:v>0.5436893203883495</c:v>
                </c:pt>
                <c:pt idx="10">
                  <c:v>0.53508771929824561</c:v>
                </c:pt>
                <c:pt idx="11">
                  <c:v>0.53716216216216217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7E4-4750-A799-1C607CD5EF75}"/>
            </c:ext>
          </c:extLst>
        </c:ser>
        <c:ser>
          <c:idx val="2"/>
          <c:order val="2"/>
          <c:tx>
            <c:strRef>
              <c:f>Sheet1!$AG$2</c:f>
              <c:strCache>
                <c:ptCount val="1"/>
                <c:pt idx="0">
                  <c:v>Recall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Sheet1!$AD$3:$AD$14</c:f>
              <c:numCache>
                <c:formatCode>General</c:formatCode>
                <c:ptCount val="12"/>
                <c:pt idx="1">
                  <c:v>0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0.4</c:v>
                </c:pt>
                <c:pt idx="6">
                  <c:v>0.5</c:v>
                </c:pt>
                <c:pt idx="7">
                  <c:v>0.6</c:v>
                </c:pt>
                <c:pt idx="8">
                  <c:v>0.7</c:v>
                </c:pt>
                <c:pt idx="9">
                  <c:v>0.8</c:v>
                </c:pt>
                <c:pt idx="10">
                  <c:v>0.9</c:v>
                </c:pt>
                <c:pt idx="11">
                  <c:v>1</c:v>
                </c:pt>
              </c:numCache>
            </c:numRef>
          </c:xVal>
          <c:yVal>
            <c:numRef>
              <c:f>Sheet1!$AG$3:$AG$14</c:f>
              <c:numCache>
                <c:formatCode>0.000%</c:formatCode>
                <c:ptCount val="12"/>
                <c:pt idx="0">
                  <c:v>0.26250000000000001</c:v>
                </c:pt>
                <c:pt idx="1">
                  <c:v>6.2500000000000003E-3</c:v>
                </c:pt>
                <c:pt idx="2">
                  <c:v>0.26250000000000001</c:v>
                </c:pt>
                <c:pt idx="3">
                  <c:v>0.38750000000000001</c:v>
                </c:pt>
                <c:pt idx="4">
                  <c:v>0.48749999999999999</c:v>
                </c:pt>
                <c:pt idx="5">
                  <c:v>0.53125</c:v>
                </c:pt>
                <c:pt idx="6">
                  <c:v>0.56874999999999998</c:v>
                </c:pt>
                <c:pt idx="7">
                  <c:v>0.61250000000000004</c:v>
                </c:pt>
                <c:pt idx="8">
                  <c:v>0.64375000000000004</c:v>
                </c:pt>
                <c:pt idx="9">
                  <c:v>0.7</c:v>
                </c:pt>
                <c:pt idx="10">
                  <c:v>0.76249999999999996</c:v>
                </c:pt>
                <c:pt idx="11">
                  <c:v>0.99375000000000002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27E4-4750-A799-1C607CD5EF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0319656"/>
        <c:axId val="610320312"/>
      </c:scatterChart>
      <c:valAx>
        <c:axId val="6103196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0320312"/>
        <c:crosses val="autoZero"/>
        <c:crossBetween val="midCat"/>
      </c:valAx>
      <c:valAx>
        <c:axId val="610320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031965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904875</xdr:colOff>
      <xdr:row>16</xdr:row>
      <xdr:rowOff>95249</xdr:rowOff>
    </xdr:from>
    <xdr:to>
      <xdr:col>33</xdr:col>
      <xdr:colOff>266700</xdr:colOff>
      <xdr:row>31</xdr:row>
      <xdr:rowOff>133349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9BABC77-7BA7-4443-965F-790BCE81D1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L305"/>
  <sheetViews>
    <sheetView showGridLines="0" tabSelected="1" topLeftCell="S3" workbookViewId="0">
      <selection activeCell="Y3" sqref="Y3:Z3"/>
    </sheetView>
  </sheetViews>
  <sheetFormatPr defaultColWidth="14.42578125" defaultRowHeight="15.75" customHeight="1" x14ac:dyDescent="0.2"/>
  <cols>
    <col min="1" max="1" width="14.5703125" bestFit="1" customWidth="1"/>
    <col min="2" max="2" width="4.140625" bestFit="1" customWidth="1"/>
    <col min="3" max="4" width="8.5703125" bestFit="1" customWidth="1"/>
    <col min="5" max="5" width="10" bestFit="1" customWidth="1"/>
    <col min="6" max="6" width="11.7109375" bestFit="1" customWidth="1"/>
    <col min="7" max="7" width="9.28515625" bestFit="1" customWidth="1"/>
    <col min="8" max="8" width="9.140625" bestFit="1" customWidth="1"/>
    <col min="9" max="9" width="9.28515625" bestFit="1" customWidth="1"/>
    <col min="10" max="10" width="8.5703125" bestFit="1" customWidth="1"/>
    <col min="11" max="11" width="8.85546875" bestFit="1" customWidth="1"/>
    <col min="12" max="14" width="8.5703125" bestFit="1" customWidth="1"/>
    <col min="15" max="15" width="7.28515625" bestFit="1" customWidth="1"/>
    <col min="16" max="16" width="13.7109375" bestFit="1" customWidth="1"/>
    <col min="17" max="17" width="25.28515625" bestFit="1" customWidth="1"/>
    <col min="18" max="18" width="27.7109375" bestFit="1" customWidth="1"/>
    <col min="19" max="19" width="13.85546875" bestFit="1" customWidth="1"/>
    <col min="20" max="20" width="22.140625" bestFit="1" customWidth="1"/>
    <col min="23" max="23" width="6.5703125" bestFit="1" customWidth="1"/>
    <col min="24" max="24" width="10.28515625" bestFit="1" customWidth="1"/>
    <col min="25" max="25" width="16.7109375" bestFit="1" customWidth="1"/>
    <col min="26" max="26" width="9.5703125" bestFit="1" customWidth="1"/>
    <col min="30" max="30" width="6.5703125" bestFit="1" customWidth="1"/>
    <col min="31" max="32" width="12.5703125" bestFit="1" customWidth="1"/>
    <col min="33" max="33" width="12.140625" bestFit="1" customWidth="1"/>
    <col min="35" max="35" width="6.5703125" bestFit="1" customWidth="1"/>
    <col min="36" max="37" width="3.140625" bestFit="1" customWidth="1"/>
  </cols>
  <sheetData>
    <row r="1" spans="1:38" ht="15.75" customHeight="1" x14ac:dyDescent="0.25">
      <c r="X1" s="41" t="s">
        <v>63</v>
      </c>
      <c r="Y1" s="41"/>
      <c r="Z1" s="41"/>
      <c r="AA1" s="41"/>
    </row>
    <row r="2" spans="1:38" ht="15.75" customHeight="1" x14ac:dyDescent="0.25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3"/>
      <c r="P2" s="1" t="s">
        <v>70</v>
      </c>
      <c r="Q2" s="4">
        <v>0.1</v>
      </c>
      <c r="R2" s="2" t="s">
        <v>14</v>
      </c>
      <c r="S2" s="4">
        <f>SUM(S6:S302)</f>
        <v>-44.447587336563807</v>
      </c>
      <c r="T2" s="3"/>
      <c r="U2" s="3"/>
      <c r="V2" s="3"/>
      <c r="W2" s="3"/>
      <c r="X2" s="3"/>
      <c r="Y2" s="40" t="s">
        <v>15</v>
      </c>
      <c r="Z2" s="40"/>
      <c r="AA2" s="3"/>
      <c r="AB2" s="3"/>
      <c r="AC2" s="3"/>
      <c r="AD2" s="1" t="s">
        <v>16</v>
      </c>
      <c r="AE2" s="2" t="s">
        <v>17</v>
      </c>
      <c r="AF2" s="2" t="s">
        <v>18</v>
      </c>
      <c r="AG2" s="2" t="s">
        <v>19</v>
      </c>
      <c r="AH2" s="3"/>
      <c r="AI2" s="1" t="s">
        <v>16</v>
      </c>
      <c r="AJ2" s="2" t="s">
        <v>20</v>
      </c>
      <c r="AK2" s="2" t="s">
        <v>21</v>
      </c>
    </row>
    <row r="3" spans="1:38" ht="16.5" customHeight="1" x14ac:dyDescent="0.25">
      <c r="A3" s="6">
        <v>-7.3731261585902983</v>
      </c>
      <c r="B3" s="7">
        <v>-1.4157114249739675E-2</v>
      </c>
      <c r="C3" s="29">
        <v>1.3121080868426405</v>
      </c>
      <c r="D3" s="29">
        <v>0.57591001269238673</v>
      </c>
      <c r="E3" s="29">
        <v>2.4044715258973628E-2</v>
      </c>
      <c r="F3" s="29">
        <v>4.9949648842358488E-3</v>
      </c>
      <c r="G3" s="29">
        <v>-1.0219926301208246</v>
      </c>
      <c r="H3" s="29">
        <v>0.24517314136144353</v>
      </c>
      <c r="I3" s="29">
        <v>-2.0662121835073349E-2</v>
      </c>
      <c r="J3" s="29">
        <v>0.92618292085802689</v>
      </c>
      <c r="K3" s="29">
        <v>0.24735814676288706</v>
      </c>
      <c r="L3" s="29">
        <v>0.57007538281328984</v>
      </c>
      <c r="M3" s="29">
        <v>1.267726020876027</v>
      </c>
      <c r="N3" s="29">
        <v>0.34394186881584737</v>
      </c>
      <c r="O3" s="3"/>
      <c r="P3" s="3"/>
      <c r="Q3" s="3"/>
      <c r="R3" s="3"/>
      <c r="S3" s="3"/>
      <c r="T3" s="3"/>
      <c r="U3" s="3"/>
      <c r="V3" s="3"/>
      <c r="W3" s="3"/>
      <c r="X3" s="3"/>
      <c r="Y3" s="30" t="s">
        <v>73</v>
      </c>
      <c r="Z3" s="30" t="s">
        <v>72</v>
      </c>
      <c r="AA3" s="5"/>
      <c r="AB3" s="3"/>
      <c r="AC3" s="3"/>
      <c r="AD3" s="9"/>
      <c r="AE3" s="37">
        <f>Z9</f>
        <v>0.48484848484848486</v>
      </c>
      <c r="AF3" s="37">
        <f>Z10</f>
        <v>0.54545454545454541</v>
      </c>
      <c r="AG3" s="37">
        <f>Z12</f>
        <v>0.26250000000000001</v>
      </c>
      <c r="AH3" s="3"/>
      <c r="AI3" s="9"/>
      <c r="AJ3" s="10"/>
      <c r="AK3" s="10"/>
    </row>
    <row r="4" spans="1:38" ht="15.75" customHeight="1" x14ac:dyDescent="0.2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Y4" s="8">
        <v>1</v>
      </c>
      <c r="Z4" s="8">
        <v>0</v>
      </c>
      <c r="AA4" s="3"/>
      <c r="AB4" s="3"/>
      <c r="AC4" s="3"/>
      <c r="AD4" s="36">
        <v>0</v>
      </c>
      <c r="AE4" s="38">
        <f t="dataTable" ref="AE4:AG14" dt2D="0" dtr="0" r1="Q2"/>
        <v>0.45791245791245794</v>
      </c>
      <c r="AF4" s="38">
        <v>0.33333333333333331</v>
      </c>
      <c r="AG4" s="38">
        <v>6.2500000000000003E-3</v>
      </c>
      <c r="AH4" s="3"/>
      <c r="AI4" s="9">
        <v>0</v>
      </c>
      <c r="AJ4" s="10"/>
      <c r="AK4" s="10"/>
    </row>
    <row r="5" spans="1:38" s="19" customFormat="1" ht="15.75" customHeight="1" x14ac:dyDescent="0.25">
      <c r="A5" s="15" t="s">
        <v>60</v>
      </c>
      <c r="B5" s="15" t="s">
        <v>23</v>
      </c>
      <c r="C5" s="15" t="s">
        <v>24</v>
      </c>
      <c r="D5" s="15" t="s">
        <v>25</v>
      </c>
      <c r="E5" s="15" t="s">
        <v>52</v>
      </c>
      <c r="F5" s="15" t="s">
        <v>53</v>
      </c>
      <c r="G5" s="15" t="s">
        <v>26</v>
      </c>
      <c r="H5" s="15" t="s">
        <v>54</v>
      </c>
      <c r="I5" s="15" t="s">
        <v>27</v>
      </c>
      <c r="J5" s="15" t="s">
        <v>28</v>
      </c>
      <c r="K5" s="15" t="s">
        <v>29</v>
      </c>
      <c r="L5" s="15" t="s">
        <v>30</v>
      </c>
      <c r="M5" s="15" t="s">
        <v>31</v>
      </c>
      <c r="N5" s="15" t="s">
        <v>32</v>
      </c>
      <c r="O5" s="15" t="s">
        <v>33</v>
      </c>
      <c r="P5" s="15" t="s">
        <v>34</v>
      </c>
      <c r="Q5" s="15" t="s">
        <v>35</v>
      </c>
      <c r="R5" s="15" t="s">
        <v>36</v>
      </c>
      <c r="S5" s="15" t="s">
        <v>37</v>
      </c>
      <c r="T5" s="15" t="s">
        <v>38</v>
      </c>
      <c r="U5" s="15"/>
      <c r="V5" s="40" t="s">
        <v>22</v>
      </c>
      <c r="W5" s="30" t="s">
        <v>73</v>
      </c>
      <c r="X5" s="8">
        <v>1</v>
      </c>
      <c r="Y5" s="11">
        <f>COUNTIFS(Actual,$X5,Predicted,$Y4)</f>
        <v>102</v>
      </c>
      <c r="Z5" s="11">
        <f>COUNTIFS(Actual,$X5,Predicted,$Z4)</f>
        <v>35</v>
      </c>
      <c r="AA5" s="4">
        <f>SUM(Y5:Z5)</f>
        <v>137</v>
      </c>
      <c r="AB5" s="15"/>
      <c r="AC5" s="15"/>
      <c r="AD5" s="36">
        <v>0.1</v>
      </c>
      <c r="AE5" s="38">
        <v>0.48484848484848486</v>
      </c>
      <c r="AF5" s="38">
        <v>0.54545454545454541</v>
      </c>
      <c r="AG5" s="38">
        <v>0.26250000000000001</v>
      </c>
      <c r="AH5" s="15"/>
      <c r="AI5" s="9">
        <v>0.1</v>
      </c>
      <c r="AJ5" s="18"/>
      <c r="AK5" s="18"/>
    </row>
    <row r="6" spans="1:38" ht="15.75" customHeight="1" x14ac:dyDescent="0.25">
      <c r="A6" s="8">
        <v>0</v>
      </c>
      <c r="B6" s="8">
        <v>63</v>
      </c>
      <c r="C6" s="8">
        <v>1</v>
      </c>
      <c r="D6" s="8">
        <v>1</v>
      </c>
      <c r="E6" s="8">
        <v>145</v>
      </c>
      <c r="F6" s="8">
        <v>233</v>
      </c>
      <c r="G6" s="8">
        <v>1</v>
      </c>
      <c r="H6" s="8">
        <v>2</v>
      </c>
      <c r="I6" s="8">
        <v>150</v>
      </c>
      <c r="J6" s="8">
        <v>0</v>
      </c>
      <c r="K6" s="8">
        <v>2.2999999999999998</v>
      </c>
      <c r="L6" s="8">
        <v>3</v>
      </c>
      <c r="M6" s="8">
        <v>0</v>
      </c>
      <c r="N6" s="8">
        <v>6</v>
      </c>
      <c r="O6" s="28">
        <f>$A$3+SUMPRODUCT($B$3:$N$3,B6:N6)</f>
        <v>-1.0148592499800886</v>
      </c>
      <c r="P6" s="28">
        <f>EXP(O6)</f>
        <v>0.36245344157157261</v>
      </c>
      <c r="Q6" s="28">
        <f>P6/(P6+1)</f>
        <v>0.26602996514397381</v>
      </c>
      <c r="R6" s="3">
        <f>IF(A6=1,Q6,1-Q6)</f>
        <v>0.73397003485602619</v>
      </c>
      <c r="S6" s="3">
        <f>LOG(R6)</f>
        <v>-0.13432167027782999</v>
      </c>
      <c r="T6" s="3">
        <f>IF(Q2&gt;Q$2,1,0)</f>
        <v>0</v>
      </c>
      <c r="U6" s="3"/>
      <c r="V6" s="40"/>
      <c r="W6" s="30" t="s">
        <v>72</v>
      </c>
      <c r="X6" s="8">
        <v>0</v>
      </c>
      <c r="Y6" s="11">
        <f>COUNTIFS(Actual,$X6,Predicted,$Y4)</f>
        <v>118</v>
      </c>
      <c r="Z6" s="11">
        <f>COUNTIFS(Actual,$X6,Predicted,$Z4)</f>
        <v>42</v>
      </c>
      <c r="AA6" s="4">
        <f>SUM(Y6:Z6)</f>
        <v>160</v>
      </c>
      <c r="AB6" s="3"/>
      <c r="AC6" s="3"/>
      <c r="AD6" s="36">
        <v>0.2</v>
      </c>
      <c r="AE6" s="38">
        <v>0.48821548821548821</v>
      </c>
      <c r="AF6" s="38">
        <v>0.53448275862068961</v>
      </c>
      <c r="AG6" s="38">
        <v>0.38750000000000001</v>
      </c>
      <c r="AH6" s="3"/>
      <c r="AI6" s="9">
        <v>0.2</v>
      </c>
      <c r="AJ6" s="10"/>
      <c r="AK6" s="10"/>
    </row>
    <row r="7" spans="1:38" ht="15.75" customHeight="1" x14ac:dyDescent="0.25">
      <c r="A7" s="8">
        <v>1</v>
      </c>
      <c r="B7" s="8">
        <v>67</v>
      </c>
      <c r="C7" s="8">
        <v>1</v>
      </c>
      <c r="D7" s="8">
        <v>4</v>
      </c>
      <c r="E7" s="8">
        <v>160</v>
      </c>
      <c r="F7" s="8">
        <v>286</v>
      </c>
      <c r="G7" s="8">
        <v>0</v>
      </c>
      <c r="H7" s="8">
        <v>2</v>
      </c>
      <c r="I7" s="8">
        <v>108</v>
      </c>
      <c r="J7" s="8">
        <v>1</v>
      </c>
      <c r="K7" s="8">
        <v>1.5</v>
      </c>
      <c r="L7" s="8">
        <v>2</v>
      </c>
      <c r="M7" s="8">
        <v>3</v>
      </c>
      <c r="N7" s="8">
        <v>3</v>
      </c>
      <c r="O7" s="28">
        <f t="shared" ref="O7:O70" si="0">$A$3+SUMPRODUCT($B$3:$N$3,B7:N7)</f>
        <v>6.1010214228560899</v>
      </c>
      <c r="P7" s="28">
        <f t="shared" ref="P7:P70" si="1">EXP(O7)</f>
        <v>446.31341206139575</v>
      </c>
      <c r="Q7" s="28">
        <f t="shared" ref="Q7:Q70" si="2">P7/(P7+1)</f>
        <v>0.99776443099393863</v>
      </c>
      <c r="R7" s="5">
        <f t="shared" ref="R7:R70" si="3">IF(A7=1,Q7,1-Q7)</f>
        <v>0.99776443099393863</v>
      </c>
      <c r="S7" s="5">
        <f t="shared" ref="S7:S70" si="4">LOG(R7)</f>
        <v>-9.7198215510155696E-4</v>
      </c>
      <c r="T7" s="5">
        <f t="shared" ref="T7:T70" si="5">IF(Q3&gt;Q$2,1,0)</f>
        <v>0</v>
      </c>
      <c r="U7" s="3"/>
      <c r="V7" s="3"/>
      <c r="W7" s="3"/>
      <c r="X7" s="5" t="s">
        <v>39</v>
      </c>
      <c r="Y7" s="13">
        <f>SUM(Y5:Y6)</f>
        <v>220</v>
      </c>
      <c r="Z7" s="13">
        <f>SUM(Z5:Z6)</f>
        <v>77</v>
      </c>
      <c r="AA7" s="14">
        <f>SUM(AA5:AA6)</f>
        <v>297</v>
      </c>
      <c r="AB7" s="3"/>
      <c r="AC7" s="3"/>
      <c r="AD7" s="36">
        <v>0.3</v>
      </c>
      <c r="AE7" s="38">
        <v>0.49831649831649832</v>
      </c>
      <c r="AF7" s="38">
        <v>0.53793103448275859</v>
      </c>
      <c r="AG7" s="38">
        <v>0.48749999999999999</v>
      </c>
      <c r="AH7" s="3"/>
      <c r="AI7" s="9">
        <v>0.3</v>
      </c>
      <c r="AJ7" s="10"/>
      <c r="AK7" s="10"/>
    </row>
    <row r="8" spans="1:38" ht="15.75" customHeight="1" x14ac:dyDescent="0.25">
      <c r="A8" s="8">
        <v>1</v>
      </c>
      <c r="B8" s="8">
        <v>67</v>
      </c>
      <c r="C8" s="8">
        <v>1</v>
      </c>
      <c r="D8" s="8">
        <v>4</v>
      </c>
      <c r="E8" s="8">
        <v>120</v>
      </c>
      <c r="F8" s="8">
        <v>229</v>
      </c>
      <c r="G8" s="8">
        <v>0</v>
      </c>
      <c r="H8" s="8">
        <v>2</v>
      </c>
      <c r="I8" s="8">
        <v>129</v>
      </c>
      <c r="J8" s="8">
        <v>1</v>
      </c>
      <c r="K8" s="8">
        <v>2.6</v>
      </c>
      <c r="L8" s="8">
        <v>2</v>
      </c>
      <c r="M8" s="8">
        <v>2</v>
      </c>
      <c r="N8" s="8">
        <v>7</v>
      </c>
      <c r="O8" s="28">
        <f t="shared" si="0"/>
        <v>4.8007506713856989</v>
      </c>
      <c r="P8" s="28">
        <f t="shared" si="1"/>
        <v>121.60166615681638</v>
      </c>
      <c r="Q8" s="28">
        <f t="shared" si="2"/>
        <v>0.99184350399674892</v>
      </c>
      <c r="R8" s="5">
        <f t="shared" si="3"/>
        <v>0.99184350399674892</v>
      </c>
      <c r="S8" s="5">
        <f t="shared" si="4"/>
        <v>-3.5568467089835956E-3</v>
      </c>
      <c r="T8" s="5">
        <f t="shared" si="5"/>
        <v>0</v>
      </c>
      <c r="U8" s="3"/>
      <c r="V8" s="3"/>
      <c r="W8" s="3"/>
      <c r="X8" s="3"/>
      <c r="Y8" s="3"/>
      <c r="Z8" s="3"/>
      <c r="AA8" s="3"/>
      <c r="AB8" s="3"/>
      <c r="AC8" s="3"/>
      <c r="AD8" s="36">
        <v>0.4</v>
      </c>
      <c r="AE8" s="38">
        <v>0.50505050505050508</v>
      </c>
      <c r="AF8" s="38">
        <v>0.54140127388535031</v>
      </c>
      <c r="AG8" s="38">
        <v>0.53125</v>
      </c>
      <c r="AH8" s="3"/>
      <c r="AI8" s="9">
        <v>0.4</v>
      </c>
      <c r="AJ8" s="10"/>
      <c r="AK8" s="10"/>
    </row>
    <row r="9" spans="1:38" ht="15" x14ac:dyDescent="0.25">
      <c r="A9" s="8">
        <v>0</v>
      </c>
      <c r="B9" s="8">
        <v>37</v>
      </c>
      <c r="C9" s="8">
        <v>1</v>
      </c>
      <c r="D9" s="8">
        <v>3</v>
      </c>
      <c r="E9" s="8">
        <v>130</v>
      </c>
      <c r="F9" s="8">
        <v>250</v>
      </c>
      <c r="G9" s="8">
        <v>0</v>
      </c>
      <c r="H9" s="8">
        <v>0</v>
      </c>
      <c r="I9" s="8">
        <v>187</v>
      </c>
      <c r="J9" s="8">
        <v>0</v>
      </c>
      <c r="K9" s="8">
        <v>3.5</v>
      </c>
      <c r="L9" s="8">
        <v>3</v>
      </c>
      <c r="M9" s="8">
        <v>0</v>
      </c>
      <c r="N9" s="8">
        <v>3</v>
      </c>
      <c r="O9" s="28">
        <f t="shared" si="0"/>
        <v>-0.7385585707865312</v>
      </c>
      <c r="P9" s="28">
        <f t="shared" si="1"/>
        <v>0.47780213734938232</v>
      </c>
      <c r="Q9" s="28">
        <f t="shared" si="2"/>
        <v>0.32331942502558458</v>
      </c>
      <c r="R9" s="5">
        <f t="shared" si="3"/>
        <v>0.67668057497441536</v>
      </c>
      <c r="S9" s="5">
        <f t="shared" si="4"/>
        <v>-0.16961629034453016</v>
      </c>
      <c r="T9" s="5">
        <f t="shared" si="5"/>
        <v>1</v>
      </c>
      <c r="U9" s="3"/>
      <c r="V9" s="3"/>
      <c r="W9" s="3"/>
      <c r="X9" s="42"/>
      <c r="Y9" s="5" t="s">
        <v>17</v>
      </c>
      <c r="Z9" s="3">
        <f>SUM(Y5,Z6)/$AA$7</f>
        <v>0.48484848484848486</v>
      </c>
      <c r="AA9" s="35">
        <v>0.48484848484848486</v>
      </c>
      <c r="AB9" s="33" t="s">
        <v>64</v>
      </c>
      <c r="AC9" s="3"/>
      <c r="AD9" s="36">
        <v>0.5</v>
      </c>
      <c r="AE9" s="38">
        <v>0.51515151515151514</v>
      </c>
      <c r="AF9" s="38">
        <v>0.54819277108433739</v>
      </c>
      <c r="AG9" s="38">
        <v>0.56874999999999998</v>
      </c>
      <c r="AH9" s="10"/>
      <c r="AI9" s="9">
        <v>0.5</v>
      </c>
      <c r="AJ9" s="12"/>
      <c r="AK9" s="10"/>
      <c r="AL9" s="10"/>
    </row>
    <row r="10" spans="1:38" ht="15" x14ac:dyDescent="0.25">
      <c r="A10" s="8">
        <v>0</v>
      </c>
      <c r="B10" s="8">
        <v>41</v>
      </c>
      <c r="C10" s="8">
        <v>0</v>
      </c>
      <c r="D10" s="8">
        <v>2</v>
      </c>
      <c r="E10" s="8">
        <v>130</v>
      </c>
      <c r="F10" s="8">
        <v>204</v>
      </c>
      <c r="G10" s="8">
        <v>0</v>
      </c>
      <c r="H10" s="8">
        <v>2</v>
      </c>
      <c r="I10" s="8">
        <v>172</v>
      </c>
      <c r="J10" s="8">
        <v>0</v>
      </c>
      <c r="K10" s="8">
        <v>1.4</v>
      </c>
      <c r="L10" s="8">
        <v>1</v>
      </c>
      <c r="M10" s="8">
        <v>0</v>
      </c>
      <c r="N10" s="8">
        <v>3</v>
      </c>
      <c r="O10" s="28">
        <f t="shared" si="0"/>
        <v>-3.7722982755750216</v>
      </c>
      <c r="P10" s="28">
        <f t="shared" si="1"/>
        <v>2.2999144127917891E-2</v>
      </c>
      <c r="Q10" s="28">
        <f t="shared" si="2"/>
        <v>2.2482075630204077E-2</v>
      </c>
      <c r="R10" s="5">
        <f t="shared" si="3"/>
        <v>0.9775179243697959</v>
      </c>
      <c r="S10" s="5">
        <f t="shared" si="4"/>
        <v>-9.8752703683889446E-3</v>
      </c>
      <c r="T10" s="5">
        <f t="shared" si="5"/>
        <v>1</v>
      </c>
      <c r="U10" s="3"/>
      <c r="V10" s="3"/>
      <c r="W10" s="3"/>
      <c r="X10" s="42"/>
      <c r="Y10" s="5" t="s">
        <v>18</v>
      </c>
      <c r="Z10" s="5">
        <f>Z6/Z7</f>
        <v>0.54545454545454541</v>
      </c>
      <c r="AA10" s="35">
        <v>0.54545454545454541</v>
      </c>
      <c r="AB10" s="33" t="s">
        <v>65</v>
      </c>
      <c r="AC10" s="3"/>
      <c r="AD10" s="36">
        <v>0.6</v>
      </c>
      <c r="AE10" s="38">
        <v>0.51851851851851849</v>
      </c>
      <c r="AF10" s="38">
        <v>0.54748603351955305</v>
      </c>
      <c r="AG10" s="38">
        <v>0.61250000000000004</v>
      </c>
      <c r="AH10" s="10"/>
      <c r="AI10" s="9">
        <v>0.6</v>
      </c>
      <c r="AJ10" s="12"/>
      <c r="AK10" s="10"/>
      <c r="AL10" s="10"/>
    </row>
    <row r="11" spans="1:38" ht="15.75" customHeight="1" x14ac:dyDescent="0.25">
      <c r="A11" s="8">
        <v>0</v>
      </c>
      <c r="B11" s="8">
        <v>56</v>
      </c>
      <c r="C11" s="8">
        <v>1</v>
      </c>
      <c r="D11" s="8">
        <v>2</v>
      </c>
      <c r="E11" s="8">
        <v>120</v>
      </c>
      <c r="F11" s="8">
        <v>236</v>
      </c>
      <c r="G11" s="8">
        <v>0</v>
      </c>
      <c r="H11" s="8">
        <v>0</v>
      </c>
      <c r="I11" s="8">
        <v>178</v>
      </c>
      <c r="J11" s="8">
        <v>0</v>
      </c>
      <c r="K11" s="8">
        <v>0.8</v>
      </c>
      <c r="L11" s="8">
        <v>1</v>
      </c>
      <c r="M11" s="8">
        <v>0</v>
      </c>
      <c r="N11" s="8">
        <v>3</v>
      </c>
      <c r="O11" s="28">
        <f t="shared" si="0"/>
        <v>-3.5158890805637251</v>
      </c>
      <c r="P11" s="28">
        <f t="shared" si="1"/>
        <v>2.9721366514481276E-2</v>
      </c>
      <c r="Q11" s="28">
        <f t="shared" si="2"/>
        <v>2.8863503740905714E-2</v>
      </c>
      <c r="R11" s="5">
        <f t="shared" si="3"/>
        <v>0.97113649625909426</v>
      </c>
      <c r="S11" s="5">
        <f t="shared" si="4"/>
        <v>-1.2719724359795716E-2</v>
      </c>
      <c r="T11" s="5">
        <f t="shared" si="5"/>
        <v>1</v>
      </c>
      <c r="U11" s="3"/>
      <c r="V11" s="3"/>
      <c r="W11" s="3"/>
      <c r="X11" s="3"/>
      <c r="Y11" s="5"/>
      <c r="Z11" s="5">
        <f>Y5/Y7</f>
        <v>0.46363636363636362</v>
      </c>
      <c r="AA11" s="35"/>
      <c r="AB11" s="33" t="s">
        <v>66</v>
      </c>
      <c r="AC11" s="3"/>
      <c r="AD11" s="36">
        <v>0.7</v>
      </c>
      <c r="AE11" s="38">
        <v>0.51178451178451179</v>
      </c>
      <c r="AF11" s="38">
        <v>0.53926701570680624</v>
      </c>
      <c r="AG11" s="38">
        <v>0.64375000000000004</v>
      </c>
      <c r="AH11" s="3"/>
      <c r="AI11" s="9">
        <v>0.7</v>
      </c>
      <c r="AJ11" s="10"/>
      <c r="AK11" s="10"/>
    </row>
    <row r="12" spans="1:38" ht="15.75" customHeight="1" x14ac:dyDescent="0.25">
      <c r="A12" s="8">
        <v>1</v>
      </c>
      <c r="B12" s="8">
        <v>62</v>
      </c>
      <c r="C12" s="8">
        <v>0</v>
      </c>
      <c r="D12" s="8">
        <v>4</v>
      </c>
      <c r="E12" s="8">
        <v>140</v>
      </c>
      <c r="F12" s="8">
        <v>268</v>
      </c>
      <c r="G12" s="8">
        <v>0</v>
      </c>
      <c r="H12" s="8">
        <v>2</v>
      </c>
      <c r="I12" s="8">
        <v>160</v>
      </c>
      <c r="J12" s="8">
        <v>0</v>
      </c>
      <c r="K12" s="8">
        <v>3.6</v>
      </c>
      <c r="L12" s="8">
        <v>3</v>
      </c>
      <c r="M12" s="8">
        <v>2</v>
      </c>
      <c r="N12" s="8">
        <v>3</v>
      </c>
      <c r="O12" s="28">
        <f t="shared" si="0"/>
        <v>2.1100834480239152</v>
      </c>
      <c r="P12" s="28">
        <f t="shared" si="1"/>
        <v>8.2489296127820513</v>
      </c>
      <c r="Q12" s="28">
        <f t="shared" si="2"/>
        <v>0.8918793804400893</v>
      </c>
      <c r="R12" s="5">
        <f t="shared" si="3"/>
        <v>0.8918793804400893</v>
      </c>
      <c r="S12" s="5">
        <f t="shared" si="4"/>
        <v>-4.9693876511102873E-2</v>
      </c>
      <c r="T12" s="5">
        <f t="shared" si="5"/>
        <v>1</v>
      </c>
      <c r="U12" s="3"/>
      <c r="V12" s="3"/>
      <c r="W12" s="3"/>
      <c r="X12" s="3"/>
      <c r="Y12" s="5" t="s">
        <v>69</v>
      </c>
      <c r="Z12" s="3">
        <f>Z6/$AA$6</f>
        <v>0.26250000000000001</v>
      </c>
      <c r="AA12" s="34">
        <v>0.26250000000000001</v>
      </c>
      <c r="AB12" s="33" t="s">
        <v>67</v>
      </c>
      <c r="AC12" s="3"/>
      <c r="AD12" s="36">
        <v>0.8</v>
      </c>
      <c r="AE12" s="38">
        <v>0.52188552188552184</v>
      </c>
      <c r="AF12" s="38">
        <v>0.5436893203883495</v>
      </c>
      <c r="AG12" s="38">
        <v>0.7</v>
      </c>
      <c r="AH12" s="3"/>
      <c r="AI12" s="9">
        <v>0.8</v>
      </c>
      <c r="AJ12" s="10"/>
      <c r="AK12" s="10"/>
    </row>
    <row r="13" spans="1:38" ht="15.75" customHeight="1" x14ac:dyDescent="0.25">
      <c r="A13" s="8">
        <v>0</v>
      </c>
      <c r="B13" s="8">
        <v>57</v>
      </c>
      <c r="C13" s="8">
        <v>0</v>
      </c>
      <c r="D13" s="8">
        <v>4</v>
      </c>
      <c r="E13" s="8">
        <v>120</v>
      </c>
      <c r="F13" s="8">
        <v>354</v>
      </c>
      <c r="G13" s="8">
        <v>0</v>
      </c>
      <c r="H13" s="8">
        <v>0</v>
      </c>
      <c r="I13" s="8">
        <v>163</v>
      </c>
      <c r="J13" s="8">
        <v>1</v>
      </c>
      <c r="K13" s="8">
        <v>0.6</v>
      </c>
      <c r="L13" s="8">
        <v>1</v>
      </c>
      <c r="M13" s="8">
        <v>0</v>
      </c>
      <c r="N13" s="8">
        <v>3</v>
      </c>
      <c r="O13" s="28">
        <f t="shared" si="0"/>
        <v>-1.9142852808999509</v>
      </c>
      <c r="P13" s="28">
        <f t="shared" si="1"/>
        <v>0.14744717824994211</v>
      </c>
      <c r="Q13" s="28">
        <f t="shared" si="2"/>
        <v>0.12850018810872399</v>
      </c>
      <c r="R13" s="5">
        <f t="shared" si="3"/>
        <v>0.87149981189127601</v>
      </c>
      <c r="S13" s="5">
        <f t="shared" si="4"/>
        <v>-5.9732702294194154E-2</v>
      </c>
      <c r="T13" s="5">
        <f t="shared" si="5"/>
        <v>1</v>
      </c>
      <c r="U13" s="3"/>
      <c r="V13" s="3"/>
      <c r="W13" s="3"/>
      <c r="X13" s="3"/>
      <c r="Y13" s="5"/>
      <c r="Z13" s="5"/>
      <c r="AA13" s="34"/>
      <c r="AB13" s="33" t="s">
        <v>68</v>
      </c>
      <c r="AC13" s="3"/>
      <c r="AD13" s="36">
        <v>0.9</v>
      </c>
      <c r="AE13" s="38">
        <v>0.51515151515151514</v>
      </c>
      <c r="AF13" s="38">
        <v>0.53508771929824561</v>
      </c>
      <c r="AG13" s="38">
        <v>0.76249999999999996</v>
      </c>
      <c r="AH13" s="3"/>
      <c r="AI13" s="9">
        <v>1</v>
      </c>
      <c r="AJ13" s="10"/>
      <c r="AK13" s="10"/>
    </row>
    <row r="14" spans="1:38" ht="15.75" customHeight="1" x14ac:dyDescent="0.25">
      <c r="A14" s="8">
        <v>1</v>
      </c>
      <c r="B14" s="8">
        <v>63</v>
      </c>
      <c r="C14" s="8">
        <v>1</v>
      </c>
      <c r="D14" s="8">
        <v>4</v>
      </c>
      <c r="E14" s="8">
        <v>130</v>
      </c>
      <c r="F14" s="8">
        <v>254</v>
      </c>
      <c r="G14" s="8">
        <v>0</v>
      </c>
      <c r="H14" s="8">
        <v>2</v>
      </c>
      <c r="I14" s="8">
        <v>147</v>
      </c>
      <c r="J14" s="8">
        <v>0</v>
      </c>
      <c r="K14" s="8">
        <v>1.4</v>
      </c>
      <c r="L14" s="8">
        <v>2</v>
      </c>
      <c r="M14" s="8">
        <v>1</v>
      </c>
      <c r="N14" s="8">
        <v>7</v>
      </c>
      <c r="O14" s="28">
        <f t="shared" si="0"/>
        <v>2.3600434921994493</v>
      </c>
      <c r="P14" s="28">
        <f t="shared" si="1"/>
        <v>10.591412086223624</v>
      </c>
      <c r="Q14" s="28">
        <f t="shared" si="2"/>
        <v>0.91372923397413341</v>
      </c>
      <c r="R14" s="5">
        <f t="shared" si="3"/>
        <v>0.91372923397413341</v>
      </c>
      <c r="S14" s="5">
        <f t="shared" si="4"/>
        <v>-3.918247999077281E-2</v>
      </c>
      <c r="T14" s="5">
        <f t="shared" si="5"/>
        <v>0</v>
      </c>
      <c r="U14" s="3"/>
      <c r="V14" s="3"/>
      <c r="W14" s="3"/>
      <c r="X14" s="3"/>
      <c r="Y14" s="5" t="s">
        <v>40</v>
      </c>
      <c r="Z14" s="3">
        <f>Y5/AA5</f>
        <v>0.74452554744525545</v>
      </c>
      <c r="AA14" s="34"/>
      <c r="AB14" s="3"/>
      <c r="AC14" s="3"/>
      <c r="AD14" s="36">
        <v>1</v>
      </c>
      <c r="AE14" s="39">
        <v>0.53535353535353536</v>
      </c>
      <c r="AF14" s="39">
        <v>0.53716216216216217</v>
      </c>
      <c r="AG14" s="39">
        <v>0.99375000000000002</v>
      </c>
      <c r="AH14" s="3"/>
      <c r="AI14" s="3"/>
      <c r="AJ14" s="3"/>
      <c r="AK14" s="3"/>
    </row>
    <row r="15" spans="1:38" ht="15.75" customHeight="1" x14ac:dyDescent="0.25">
      <c r="A15" s="8">
        <v>1</v>
      </c>
      <c r="B15" s="8">
        <v>53</v>
      </c>
      <c r="C15" s="8">
        <v>1</v>
      </c>
      <c r="D15" s="8">
        <v>4</v>
      </c>
      <c r="E15" s="8">
        <v>140</v>
      </c>
      <c r="F15" s="8">
        <v>203</v>
      </c>
      <c r="G15" s="8">
        <v>1</v>
      </c>
      <c r="H15" s="8">
        <v>2</v>
      </c>
      <c r="I15" s="8">
        <v>155</v>
      </c>
      <c r="J15" s="8">
        <v>1</v>
      </c>
      <c r="K15" s="8">
        <v>3.1</v>
      </c>
      <c r="L15" s="8">
        <v>3</v>
      </c>
      <c r="M15" s="8">
        <v>0</v>
      </c>
      <c r="N15" s="8">
        <v>7</v>
      </c>
      <c r="O15" s="28">
        <f t="shared" si="0"/>
        <v>1.9490701056813426</v>
      </c>
      <c r="P15" s="28">
        <f t="shared" si="1"/>
        <v>7.0221546818639418</v>
      </c>
      <c r="Q15" s="28">
        <f t="shared" si="2"/>
        <v>0.87534521089941753</v>
      </c>
      <c r="R15" s="5">
        <f t="shared" si="3"/>
        <v>0.87534521089941753</v>
      </c>
      <c r="S15" s="5">
        <f t="shared" si="4"/>
        <v>-5.7820639980963831E-2</v>
      </c>
      <c r="T15" s="5">
        <f t="shared" si="5"/>
        <v>0</v>
      </c>
      <c r="U15" s="3"/>
      <c r="V15" s="3"/>
      <c r="W15" s="3"/>
      <c r="Y15" s="5" t="s">
        <v>41</v>
      </c>
      <c r="Z15" s="3">
        <f>Z5/AA5</f>
        <v>0.25547445255474455</v>
      </c>
      <c r="AA15" s="34"/>
      <c r="AB15" s="3"/>
      <c r="AC15" s="3"/>
      <c r="AD15" s="3"/>
      <c r="AE15" s="3"/>
      <c r="AF15" s="3"/>
      <c r="AG15" s="3"/>
      <c r="AH15" s="3"/>
      <c r="AI15" s="3"/>
      <c r="AJ15" s="3"/>
      <c r="AK15" s="3"/>
    </row>
    <row r="16" spans="1:38" ht="15.75" customHeight="1" x14ac:dyDescent="0.25">
      <c r="A16" s="8">
        <v>0</v>
      </c>
      <c r="B16" s="8">
        <v>57</v>
      </c>
      <c r="C16" s="8">
        <v>1</v>
      </c>
      <c r="D16" s="8">
        <v>4</v>
      </c>
      <c r="E16" s="8">
        <v>140</v>
      </c>
      <c r="F16" s="8">
        <v>192</v>
      </c>
      <c r="G16" s="8">
        <v>0</v>
      </c>
      <c r="H16" s="8">
        <v>0</v>
      </c>
      <c r="I16" s="8">
        <v>148</v>
      </c>
      <c r="J16" s="8">
        <v>0</v>
      </c>
      <c r="K16" s="8">
        <v>0.4</v>
      </c>
      <c r="L16" s="8">
        <v>2</v>
      </c>
      <c r="M16" s="8">
        <v>0</v>
      </c>
      <c r="N16" s="8">
        <v>6</v>
      </c>
      <c r="O16" s="28">
        <f t="shared" si="0"/>
        <v>5.7110664522825871E-3</v>
      </c>
      <c r="P16" s="28">
        <f t="shared" si="1"/>
        <v>1.0057274056822942</v>
      </c>
      <c r="Q16" s="28">
        <f t="shared" si="2"/>
        <v>0.50142776273238032</v>
      </c>
      <c r="R16" s="5">
        <f t="shared" si="3"/>
        <v>0.49857223726761968</v>
      </c>
      <c r="S16" s="5">
        <f t="shared" si="4"/>
        <v>-0.30227190861838366</v>
      </c>
      <c r="T16" s="5">
        <f t="shared" si="5"/>
        <v>1</v>
      </c>
      <c r="U16" s="3"/>
      <c r="V16" s="3"/>
      <c r="W16" s="3"/>
      <c r="Y16" s="3">
        <v>1</v>
      </c>
      <c r="Z16" s="3">
        <v>0</v>
      </c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</row>
    <row r="17" spans="1:37" ht="15.75" customHeight="1" x14ac:dyDescent="0.25">
      <c r="A17" s="8">
        <v>0</v>
      </c>
      <c r="B17" s="8">
        <v>56</v>
      </c>
      <c r="C17" s="8">
        <v>0</v>
      </c>
      <c r="D17" s="8">
        <v>2</v>
      </c>
      <c r="E17" s="8">
        <v>140</v>
      </c>
      <c r="F17" s="8">
        <v>294</v>
      </c>
      <c r="G17" s="8">
        <v>0</v>
      </c>
      <c r="H17" s="8">
        <v>2</v>
      </c>
      <c r="I17" s="8">
        <v>153</v>
      </c>
      <c r="J17" s="8">
        <v>0</v>
      </c>
      <c r="K17" s="8">
        <v>1.3</v>
      </c>
      <c r="L17" s="8">
        <v>2</v>
      </c>
      <c r="M17" s="8">
        <v>0</v>
      </c>
      <c r="N17" s="8">
        <v>3</v>
      </c>
      <c r="O17" s="28">
        <f t="shared" si="0"/>
        <v>-2.3567411141467609</v>
      </c>
      <c r="P17" s="28">
        <f t="shared" si="1"/>
        <v>9.4728429858330326E-2</v>
      </c>
      <c r="Q17" s="28">
        <f t="shared" si="2"/>
        <v>8.6531442204884734E-2</v>
      </c>
      <c r="R17" s="5">
        <f t="shared" si="3"/>
        <v>0.91346855779511527</v>
      </c>
      <c r="S17" s="5">
        <f t="shared" si="4"/>
        <v>-3.9306396763646806E-2</v>
      </c>
      <c r="T17" s="5">
        <f t="shared" si="5"/>
        <v>1</v>
      </c>
      <c r="U17" s="3"/>
      <c r="V17" s="3"/>
      <c r="W17" s="3"/>
      <c r="X17" s="3">
        <v>1</v>
      </c>
      <c r="Y17" s="31" t="s">
        <v>21</v>
      </c>
      <c r="Z17" s="32" t="s">
        <v>20</v>
      </c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</row>
    <row r="18" spans="1:37" ht="15.75" customHeight="1" x14ac:dyDescent="0.25">
      <c r="A18" s="8">
        <v>1</v>
      </c>
      <c r="B18" s="8">
        <v>56</v>
      </c>
      <c r="C18" s="8">
        <v>1</v>
      </c>
      <c r="D18" s="8">
        <v>3</v>
      </c>
      <c r="E18" s="8">
        <v>130</v>
      </c>
      <c r="F18" s="8">
        <v>256</v>
      </c>
      <c r="G18" s="8">
        <v>1</v>
      </c>
      <c r="H18" s="8">
        <v>2</v>
      </c>
      <c r="I18" s="8">
        <v>142</v>
      </c>
      <c r="J18" s="8">
        <v>1</v>
      </c>
      <c r="K18" s="8">
        <v>0.6</v>
      </c>
      <c r="L18" s="8">
        <v>2</v>
      </c>
      <c r="M18" s="8">
        <v>1</v>
      </c>
      <c r="N18" s="8">
        <v>6</v>
      </c>
      <c r="O18" s="28">
        <f t="shared" si="0"/>
        <v>1.3588957227101242</v>
      </c>
      <c r="P18" s="28">
        <f t="shared" si="1"/>
        <v>3.8918931987051413</v>
      </c>
      <c r="Q18" s="28">
        <f t="shared" si="2"/>
        <v>0.7955801651056702</v>
      </c>
      <c r="R18" s="5">
        <f t="shared" si="3"/>
        <v>0.7955801651056702</v>
      </c>
      <c r="S18" s="5">
        <f t="shared" si="4"/>
        <v>-9.9316052964064261E-2</v>
      </c>
      <c r="T18" s="5">
        <f t="shared" si="5"/>
        <v>1</v>
      </c>
      <c r="U18" s="3"/>
      <c r="V18" s="3"/>
      <c r="W18" s="3"/>
      <c r="X18" s="3">
        <v>0</v>
      </c>
      <c r="Y18" s="16" t="s">
        <v>62</v>
      </c>
      <c r="Z18" s="17" t="s">
        <v>61</v>
      </c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</row>
    <row r="19" spans="1:37" ht="15.75" customHeight="1" x14ac:dyDescent="0.25">
      <c r="A19" s="8">
        <v>0</v>
      </c>
      <c r="B19" s="8">
        <v>44</v>
      </c>
      <c r="C19" s="8">
        <v>1</v>
      </c>
      <c r="D19" s="8">
        <v>2</v>
      </c>
      <c r="E19" s="8">
        <v>120</v>
      </c>
      <c r="F19" s="8">
        <v>263</v>
      </c>
      <c r="G19" s="8">
        <v>0</v>
      </c>
      <c r="H19" s="8">
        <v>0</v>
      </c>
      <c r="I19" s="8">
        <v>173</v>
      </c>
      <c r="J19" s="8">
        <v>0</v>
      </c>
      <c r="K19" s="8">
        <v>0</v>
      </c>
      <c r="L19" s="8">
        <v>1</v>
      </c>
      <c r="M19" s="8">
        <v>0</v>
      </c>
      <c r="N19" s="8">
        <v>7</v>
      </c>
      <c r="O19" s="28">
        <f t="shared" si="0"/>
        <v>-1.9299480906640341</v>
      </c>
      <c r="P19" s="28">
        <f t="shared" si="1"/>
        <v>0.14515573322578371</v>
      </c>
      <c r="Q19" s="28">
        <f t="shared" si="2"/>
        <v>0.12675632581159527</v>
      </c>
      <c r="R19" s="5">
        <f t="shared" si="3"/>
        <v>0.87324367418840476</v>
      </c>
      <c r="S19" s="5">
        <f t="shared" si="4"/>
        <v>-5.8864551725265543E-2</v>
      </c>
      <c r="T19" s="5">
        <f t="shared" si="5"/>
        <v>1</v>
      </c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</row>
    <row r="20" spans="1:37" ht="15.75" customHeight="1" x14ac:dyDescent="0.25">
      <c r="A20" s="8">
        <v>0</v>
      </c>
      <c r="B20" s="8">
        <v>52</v>
      </c>
      <c r="C20" s="8">
        <v>1</v>
      </c>
      <c r="D20" s="8">
        <v>3</v>
      </c>
      <c r="E20" s="8">
        <v>172</v>
      </c>
      <c r="F20" s="8">
        <v>199</v>
      </c>
      <c r="G20" s="8">
        <v>1</v>
      </c>
      <c r="H20" s="8">
        <v>0</v>
      </c>
      <c r="I20" s="8">
        <v>162</v>
      </c>
      <c r="J20" s="8">
        <v>0</v>
      </c>
      <c r="K20" s="8">
        <v>0.5</v>
      </c>
      <c r="L20" s="8">
        <v>1</v>
      </c>
      <c r="M20" s="8">
        <v>0</v>
      </c>
      <c r="N20" s="8">
        <v>7</v>
      </c>
      <c r="O20" s="28">
        <f t="shared" si="0"/>
        <v>-1.2076777676476045</v>
      </c>
      <c r="P20" s="28">
        <f t="shared" si="1"/>
        <v>0.29889056747597936</v>
      </c>
      <c r="Q20" s="28">
        <f t="shared" si="2"/>
        <v>0.23011220110466066</v>
      </c>
      <c r="R20" s="5">
        <f t="shared" si="3"/>
        <v>0.76988779889533931</v>
      </c>
      <c r="S20" s="5">
        <f t="shared" si="4"/>
        <v>-0.11357256297193849</v>
      </c>
      <c r="T20" s="5">
        <f t="shared" si="5"/>
        <v>1</v>
      </c>
      <c r="U20" s="3"/>
      <c r="V20" s="3"/>
      <c r="W20" s="3"/>
      <c r="X20" s="3"/>
      <c r="Y20" s="30" t="s">
        <v>71</v>
      </c>
      <c r="Z20" s="30" t="s">
        <v>72</v>
      </c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</row>
    <row r="21" spans="1:37" ht="15.75" customHeight="1" x14ac:dyDescent="0.25">
      <c r="A21" s="8">
        <v>0</v>
      </c>
      <c r="B21" s="8">
        <v>57</v>
      </c>
      <c r="C21" s="8">
        <v>1</v>
      </c>
      <c r="D21" s="8">
        <v>3</v>
      </c>
      <c r="E21" s="8">
        <v>150</v>
      </c>
      <c r="F21" s="8">
        <v>168</v>
      </c>
      <c r="G21" s="8">
        <v>0</v>
      </c>
      <c r="H21" s="8">
        <v>0</v>
      </c>
      <c r="I21" s="8">
        <v>174</v>
      </c>
      <c r="J21" s="8">
        <v>0</v>
      </c>
      <c r="K21" s="8">
        <v>1.6</v>
      </c>
      <c r="L21" s="8">
        <v>1</v>
      </c>
      <c r="M21" s="8">
        <v>0</v>
      </c>
      <c r="N21" s="8">
        <v>3</v>
      </c>
      <c r="O21" s="28">
        <f t="shared" si="0"/>
        <v>-2.2919173317293033</v>
      </c>
      <c r="P21" s="28">
        <f t="shared" si="1"/>
        <v>0.10107248647045906</v>
      </c>
      <c r="Q21" s="28">
        <f t="shared" si="2"/>
        <v>9.1794580023020822E-2</v>
      </c>
      <c r="R21" s="5">
        <f t="shared" si="3"/>
        <v>0.90820541997697912</v>
      </c>
      <c r="S21" s="5">
        <f t="shared" si="4"/>
        <v>-4.1815910650125521E-2</v>
      </c>
      <c r="T21" s="5">
        <f t="shared" si="5"/>
        <v>0</v>
      </c>
      <c r="U21" s="3"/>
      <c r="V21" s="3"/>
      <c r="W21" s="3"/>
      <c r="X21" s="30" t="s">
        <v>71</v>
      </c>
      <c r="Y21" s="31" t="s">
        <v>61</v>
      </c>
      <c r="Z21" s="32" t="s">
        <v>20</v>
      </c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</row>
    <row r="22" spans="1:37" ht="15.75" customHeight="1" x14ac:dyDescent="0.25">
      <c r="A22" s="8">
        <v>1</v>
      </c>
      <c r="B22" s="8">
        <v>48</v>
      </c>
      <c r="C22" s="8">
        <v>1</v>
      </c>
      <c r="D22" s="8">
        <v>2</v>
      </c>
      <c r="E22" s="8">
        <v>110</v>
      </c>
      <c r="F22" s="8">
        <v>229</v>
      </c>
      <c r="G22" s="8">
        <v>0</v>
      </c>
      <c r="H22" s="8">
        <v>0</v>
      </c>
      <c r="I22" s="8">
        <v>168</v>
      </c>
      <c r="J22" s="8">
        <v>0</v>
      </c>
      <c r="K22" s="8">
        <v>1</v>
      </c>
      <c r="L22" s="8">
        <v>3</v>
      </c>
      <c r="M22" s="8">
        <v>0</v>
      </c>
      <c r="N22" s="8">
        <v>7</v>
      </c>
      <c r="O22" s="28">
        <f t="shared" si="0"/>
        <v>-0.90603298475191529</v>
      </c>
      <c r="P22" s="28">
        <f t="shared" si="1"/>
        <v>0.40412421526462333</v>
      </c>
      <c r="Q22" s="28">
        <f t="shared" si="2"/>
        <v>0.28781229671226877</v>
      </c>
      <c r="R22" s="5">
        <f t="shared" si="3"/>
        <v>0.28781229671226877</v>
      </c>
      <c r="S22" s="5">
        <f t="shared" si="4"/>
        <v>-0.5408906548740533</v>
      </c>
      <c r="T22" s="5">
        <f t="shared" si="5"/>
        <v>1</v>
      </c>
      <c r="U22" s="3"/>
      <c r="V22" s="3"/>
      <c r="W22" s="3"/>
      <c r="X22" s="30" t="s">
        <v>72</v>
      </c>
      <c r="Y22" s="16" t="s">
        <v>62</v>
      </c>
      <c r="Z22" s="17" t="s">
        <v>21</v>
      </c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</row>
    <row r="23" spans="1:37" ht="15.75" customHeight="1" x14ac:dyDescent="0.25">
      <c r="A23" s="8">
        <v>0</v>
      </c>
      <c r="B23" s="8">
        <v>54</v>
      </c>
      <c r="C23" s="8">
        <v>1</v>
      </c>
      <c r="D23" s="8">
        <v>4</v>
      </c>
      <c r="E23" s="8">
        <v>140</v>
      </c>
      <c r="F23" s="8">
        <v>239</v>
      </c>
      <c r="G23" s="8">
        <v>0</v>
      </c>
      <c r="H23" s="8">
        <v>0</v>
      </c>
      <c r="I23" s="8">
        <v>160</v>
      </c>
      <c r="J23" s="8">
        <v>0</v>
      </c>
      <c r="K23" s="8">
        <v>1.2</v>
      </c>
      <c r="L23" s="8">
        <v>1</v>
      </c>
      <c r="M23" s="8">
        <v>0</v>
      </c>
      <c r="N23" s="8">
        <v>3</v>
      </c>
      <c r="O23" s="28">
        <f t="shared" si="0"/>
        <v>-1.3690141751108165</v>
      </c>
      <c r="P23" s="28">
        <f t="shared" si="1"/>
        <v>0.25435758803564257</v>
      </c>
      <c r="Q23" s="28">
        <f t="shared" si="2"/>
        <v>0.20277916796754372</v>
      </c>
      <c r="R23" s="5">
        <f t="shared" si="3"/>
        <v>0.79722083203245631</v>
      </c>
      <c r="S23" s="5">
        <f t="shared" si="4"/>
        <v>-9.8421361353216177E-2</v>
      </c>
      <c r="T23" s="5">
        <f t="shared" si="5"/>
        <v>1</v>
      </c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</row>
    <row r="24" spans="1:37" ht="15" x14ac:dyDescent="0.25">
      <c r="A24" s="8">
        <v>0</v>
      </c>
      <c r="B24" s="8">
        <v>48</v>
      </c>
      <c r="C24" s="8">
        <v>0</v>
      </c>
      <c r="D24" s="8">
        <v>3</v>
      </c>
      <c r="E24" s="8">
        <v>130</v>
      </c>
      <c r="F24" s="8">
        <v>275</v>
      </c>
      <c r="G24" s="8">
        <v>0</v>
      </c>
      <c r="H24" s="8">
        <v>0</v>
      </c>
      <c r="I24" s="8">
        <v>139</v>
      </c>
      <c r="J24" s="8">
        <v>0</v>
      </c>
      <c r="K24" s="8">
        <v>0.2</v>
      </c>
      <c r="L24" s="8">
        <v>1</v>
      </c>
      <c r="M24" s="8">
        <v>0</v>
      </c>
      <c r="N24" s="8">
        <v>3</v>
      </c>
      <c r="O24" s="28">
        <f t="shared" si="0"/>
        <v>-3.0461715941309988</v>
      </c>
      <c r="P24" s="28">
        <f t="shared" si="1"/>
        <v>4.7540581081124807E-2</v>
      </c>
      <c r="Q24" s="28">
        <f t="shared" si="2"/>
        <v>4.5383044761912773E-2</v>
      </c>
      <c r="R24" s="5">
        <f t="shared" si="3"/>
        <v>0.95461695523808721</v>
      </c>
      <c r="S24" s="5">
        <f t="shared" si="4"/>
        <v>-2.0170856266708653E-2</v>
      </c>
      <c r="T24" s="5">
        <f t="shared" si="5"/>
        <v>1</v>
      </c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</row>
    <row r="25" spans="1:37" ht="15" x14ac:dyDescent="0.25">
      <c r="A25" s="8">
        <v>0</v>
      </c>
      <c r="B25" s="8">
        <v>49</v>
      </c>
      <c r="C25" s="8">
        <v>1</v>
      </c>
      <c r="D25" s="8">
        <v>2</v>
      </c>
      <c r="E25" s="8">
        <v>130</v>
      </c>
      <c r="F25" s="8">
        <v>266</v>
      </c>
      <c r="G25" s="8">
        <v>0</v>
      </c>
      <c r="H25" s="8">
        <v>0</v>
      </c>
      <c r="I25" s="8">
        <v>171</v>
      </c>
      <c r="J25" s="8">
        <v>0</v>
      </c>
      <c r="K25" s="8">
        <v>0.6</v>
      </c>
      <c r="L25" s="8">
        <v>1</v>
      </c>
      <c r="M25" s="8">
        <v>0</v>
      </c>
      <c r="N25" s="8">
        <v>3</v>
      </c>
      <c r="O25" s="28">
        <f t="shared" si="0"/>
        <v>-2.9313299582057999</v>
      </c>
      <c r="P25" s="28">
        <f t="shared" si="1"/>
        <v>5.3326069519264392E-2</v>
      </c>
      <c r="Q25" s="28">
        <f t="shared" si="2"/>
        <v>5.0626364487116784E-2</v>
      </c>
      <c r="R25" s="5">
        <f t="shared" si="3"/>
        <v>0.94937363551288323</v>
      </c>
      <c r="S25" s="5">
        <f t="shared" si="4"/>
        <v>-2.2562832982369555E-2</v>
      </c>
      <c r="T25" s="5">
        <f t="shared" si="5"/>
        <v>0</v>
      </c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</row>
    <row r="26" spans="1:37" ht="15" x14ac:dyDescent="0.25">
      <c r="A26" s="8">
        <v>0</v>
      </c>
      <c r="B26" s="8">
        <v>64</v>
      </c>
      <c r="C26" s="8">
        <v>1</v>
      </c>
      <c r="D26" s="8">
        <v>1</v>
      </c>
      <c r="E26" s="8">
        <v>110</v>
      </c>
      <c r="F26" s="8">
        <v>211</v>
      </c>
      <c r="G26" s="8">
        <v>0</v>
      </c>
      <c r="H26" s="8">
        <v>2</v>
      </c>
      <c r="I26" s="8">
        <v>144</v>
      </c>
      <c r="J26" s="8">
        <v>1</v>
      </c>
      <c r="K26" s="8">
        <v>1.8</v>
      </c>
      <c r="L26" s="8">
        <v>2</v>
      </c>
      <c r="M26" s="8">
        <v>0</v>
      </c>
      <c r="N26" s="8">
        <v>3</v>
      </c>
      <c r="O26" s="28">
        <f t="shared" si="0"/>
        <v>-1.6339024064000762</v>
      </c>
      <c r="P26" s="28">
        <f t="shared" si="1"/>
        <v>0.19516646724788833</v>
      </c>
      <c r="Q26" s="28">
        <f t="shared" si="2"/>
        <v>0.1632964717436379</v>
      </c>
      <c r="R26" s="5">
        <f t="shared" si="3"/>
        <v>0.83670352825636207</v>
      </c>
      <c r="S26" s="5">
        <f t="shared" si="4"/>
        <v>-7.7428399654137073E-2</v>
      </c>
      <c r="T26" s="5">
        <f t="shared" si="5"/>
        <v>1</v>
      </c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</row>
    <row r="27" spans="1:37" ht="15" x14ac:dyDescent="0.25">
      <c r="A27" s="8">
        <v>0</v>
      </c>
      <c r="B27" s="8">
        <v>58</v>
      </c>
      <c r="C27" s="8">
        <v>0</v>
      </c>
      <c r="D27" s="8">
        <v>1</v>
      </c>
      <c r="E27" s="8">
        <v>150</v>
      </c>
      <c r="F27" s="8">
        <v>283</v>
      </c>
      <c r="G27" s="8">
        <v>1</v>
      </c>
      <c r="H27" s="8">
        <v>2</v>
      </c>
      <c r="I27" s="8">
        <v>162</v>
      </c>
      <c r="J27" s="8">
        <v>0</v>
      </c>
      <c r="K27" s="8">
        <v>1</v>
      </c>
      <c r="L27" s="8">
        <v>1</v>
      </c>
      <c r="M27" s="8">
        <v>0</v>
      </c>
      <c r="N27" s="8">
        <v>3</v>
      </c>
      <c r="O27" s="28">
        <f t="shared" si="0"/>
        <v>-4.6276973699541246</v>
      </c>
      <c r="P27" s="28">
        <f t="shared" si="1"/>
        <v>9.7772465839817569E-3</v>
      </c>
      <c r="Q27" s="28">
        <f t="shared" si="2"/>
        <v>9.6825776348770168E-3</v>
      </c>
      <c r="R27" s="5">
        <f t="shared" si="3"/>
        <v>0.99031742236512299</v>
      </c>
      <c r="S27" s="5">
        <f t="shared" si="4"/>
        <v>-4.2255804668621718E-3</v>
      </c>
      <c r="T27" s="5">
        <f t="shared" si="5"/>
        <v>1</v>
      </c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</row>
    <row r="28" spans="1:37" ht="15" x14ac:dyDescent="0.25">
      <c r="A28" s="8">
        <v>1</v>
      </c>
      <c r="B28" s="8">
        <v>58</v>
      </c>
      <c r="C28" s="8">
        <v>1</v>
      </c>
      <c r="D28" s="8">
        <v>2</v>
      </c>
      <c r="E28" s="8">
        <v>120</v>
      </c>
      <c r="F28" s="8">
        <v>284</v>
      </c>
      <c r="G28" s="8">
        <v>0</v>
      </c>
      <c r="H28" s="8">
        <v>2</v>
      </c>
      <c r="I28" s="8">
        <v>160</v>
      </c>
      <c r="J28" s="8">
        <v>0</v>
      </c>
      <c r="K28" s="8">
        <v>1.8</v>
      </c>
      <c r="L28" s="8">
        <v>2</v>
      </c>
      <c r="M28" s="8">
        <v>0</v>
      </c>
      <c r="N28" s="8">
        <v>3</v>
      </c>
      <c r="O28" s="28">
        <f t="shared" si="0"/>
        <v>-1.6247469892894983</v>
      </c>
      <c r="P28" s="28">
        <f t="shared" si="1"/>
        <v>0.19696150227016843</v>
      </c>
      <c r="Q28" s="28">
        <f t="shared" si="2"/>
        <v>0.16455124237213092</v>
      </c>
      <c r="R28" s="5">
        <f t="shared" si="3"/>
        <v>0.16455124237213092</v>
      </c>
      <c r="S28" s="5">
        <f t="shared" si="4"/>
        <v>-0.78369883440683585</v>
      </c>
      <c r="T28" s="5">
        <f t="shared" si="5"/>
        <v>0</v>
      </c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</row>
    <row r="29" spans="1:37" ht="15" x14ac:dyDescent="0.25">
      <c r="A29" s="8">
        <v>1</v>
      </c>
      <c r="B29" s="8">
        <v>58</v>
      </c>
      <c r="C29" s="8">
        <v>1</v>
      </c>
      <c r="D29" s="8">
        <v>3</v>
      </c>
      <c r="E29" s="8">
        <v>132</v>
      </c>
      <c r="F29" s="8">
        <v>224</v>
      </c>
      <c r="G29" s="8">
        <v>0</v>
      </c>
      <c r="H29" s="8">
        <v>2</v>
      </c>
      <c r="I29" s="8">
        <v>173</v>
      </c>
      <c r="J29" s="8">
        <v>0</v>
      </c>
      <c r="K29" s="8">
        <v>3.2</v>
      </c>
      <c r="L29" s="8">
        <v>1</v>
      </c>
      <c r="M29" s="8">
        <v>2</v>
      </c>
      <c r="N29" s="8">
        <v>7</v>
      </c>
      <c r="O29" s="28">
        <f t="shared" si="0"/>
        <v>2.3588396692706626</v>
      </c>
      <c r="P29" s="28">
        <f t="shared" si="1"/>
        <v>10.578669572909707</v>
      </c>
      <c r="Q29" s="28">
        <f t="shared" si="2"/>
        <v>0.91363429159947074</v>
      </c>
      <c r="R29" s="5">
        <f t="shared" si="3"/>
        <v>0.91363429159947074</v>
      </c>
      <c r="S29" s="5">
        <f t="shared" si="4"/>
        <v>-3.9227608339757393E-2</v>
      </c>
      <c r="T29" s="5">
        <f t="shared" si="5"/>
        <v>0</v>
      </c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</row>
    <row r="30" spans="1:37" ht="15" x14ac:dyDescent="0.25">
      <c r="A30" s="8">
        <v>1</v>
      </c>
      <c r="B30" s="8">
        <v>60</v>
      </c>
      <c r="C30" s="8">
        <v>1</v>
      </c>
      <c r="D30" s="8">
        <v>4</v>
      </c>
      <c r="E30" s="8">
        <v>130</v>
      </c>
      <c r="F30" s="8">
        <v>206</v>
      </c>
      <c r="G30" s="8">
        <v>0</v>
      </c>
      <c r="H30" s="8">
        <v>2</v>
      </c>
      <c r="I30" s="8">
        <v>132</v>
      </c>
      <c r="J30" s="8">
        <v>1</v>
      </c>
      <c r="K30" s="8">
        <v>2.4</v>
      </c>
      <c r="L30" s="8">
        <v>2</v>
      </c>
      <c r="M30" s="8">
        <v>2</v>
      </c>
      <c r="N30" s="8">
        <v>7</v>
      </c>
      <c r="O30" s="28">
        <f t="shared" si="0"/>
        <v>4.9139554365283926</v>
      </c>
      <c r="P30" s="28">
        <f t="shared" si="1"/>
        <v>136.17698997503726</v>
      </c>
      <c r="Q30" s="28">
        <f t="shared" si="2"/>
        <v>0.99271014766994103</v>
      </c>
      <c r="R30" s="5">
        <f t="shared" si="3"/>
        <v>0.99271014766994103</v>
      </c>
      <c r="S30" s="5">
        <f t="shared" si="4"/>
        <v>-3.1775386578729581E-3</v>
      </c>
      <c r="T30" s="5">
        <f t="shared" si="5"/>
        <v>1</v>
      </c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</row>
    <row r="31" spans="1:37" ht="15" x14ac:dyDescent="0.25">
      <c r="A31" s="8">
        <v>0</v>
      </c>
      <c r="B31" s="8">
        <v>50</v>
      </c>
      <c r="C31" s="8">
        <v>0</v>
      </c>
      <c r="D31" s="8">
        <v>3</v>
      </c>
      <c r="E31" s="8">
        <v>120</v>
      </c>
      <c r="F31" s="8">
        <v>219</v>
      </c>
      <c r="G31" s="8">
        <v>0</v>
      </c>
      <c r="H31" s="8">
        <v>0</v>
      </c>
      <c r="I31" s="8">
        <v>158</v>
      </c>
      <c r="J31" s="8">
        <v>0</v>
      </c>
      <c r="K31" s="8">
        <v>1.6</v>
      </c>
      <c r="L31" s="8">
        <v>2</v>
      </c>
      <c r="M31" s="8">
        <v>0</v>
      </c>
      <c r="N31" s="8">
        <v>3</v>
      </c>
      <c r="O31" s="28">
        <f t="shared" si="0"/>
        <v>-3.0708545353224839</v>
      </c>
      <c r="P31" s="28">
        <f t="shared" si="1"/>
        <v>4.6381503285142553E-2</v>
      </c>
      <c r="Q31" s="28">
        <f t="shared" si="2"/>
        <v>4.4325614643919639E-2</v>
      </c>
      <c r="R31" s="5">
        <f t="shared" si="3"/>
        <v>0.9556743853560804</v>
      </c>
      <c r="S31" s="5">
        <f t="shared" si="4"/>
        <v>-1.9690054095449383E-2</v>
      </c>
      <c r="T31" s="5">
        <f t="shared" si="5"/>
        <v>0</v>
      </c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</row>
    <row r="32" spans="1:37" ht="15" x14ac:dyDescent="0.25">
      <c r="A32" s="8">
        <v>0</v>
      </c>
      <c r="B32" s="8">
        <v>58</v>
      </c>
      <c r="C32" s="8">
        <v>0</v>
      </c>
      <c r="D32" s="8">
        <v>3</v>
      </c>
      <c r="E32" s="8">
        <v>120</v>
      </c>
      <c r="F32" s="8">
        <v>340</v>
      </c>
      <c r="G32" s="8">
        <v>0</v>
      </c>
      <c r="H32" s="8">
        <v>0</v>
      </c>
      <c r="I32" s="8">
        <v>172</v>
      </c>
      <c r="J32" s="8">
        <v>0</v>
      </c>
      <c r="K32" s="8">
        <v>0</v>
      </c>
      <c r="L32" s="8">
        <v>1</v>
      </c>
      <c r="M32" s="8">
        <v>0</v>
      </c>
      <c r="N32" s="8">
        <v>3</v>
      </c>
      <c r="O32" s="28">
        <f t="shared" si="0"/>
        <v>-3.8348388216527987</v>
      </c>
      <c r="P32" s="28">
        <f t="shared" si="1"/>
        <v>2.1604820418807617E-2</v>
      </c>
      <c r="Q32" s="28">
        <f t="shared" si="2"/>
        <v>2.1147923332968131E-2</v>
      </c>
      <c r="R32" s="5">
        <f t="shared" si="3"/>
        <v>0.97885207666703189</v>
      </c>
      <c r="S32" s="5">
        <f t="shared" si="4"/>
        <v>-9.2829334687002715E-3</v>
      </c>
      <c r="T32" s="5">
        <f t="shared" si="5"/>
        <v>1</v>
      </c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</row>
    <row r="33" spans="1:37" ht="15" x14ac:dyDescent="0.25">
      <c r="A33" s="8">
        <v>0</v>
      </c>
      <c r="B33" s="8">
        <v>66</v>
      </c>
      <c r="C33" s="8">
        <v>0</v>
      </c>
      <c r="D33" s="8">
        <v>1</v>
      </c>
      <c r="E33" s="8">
        <v>150</v>
      </c>
      <c r="F33" s="8">
        <v>226</v>
      </c>
      <c r="G33" s="8">
        <v>0</v>
      </c>
      <c r="H33" s="8">
        <v>0</v>
      </c>
      <c r="I33" s="8">
        <v>114</v>
      </c>
      <c r="J33" s="8">
        <v>0</v>
      </c>
      <c r="K33" s="8">
        <v>2.6</v>
      </c>
      <c r="L33" s="8">
        <v>3</v>
      </c>
      <c r="M33" s="8">
        <v>0</v>
      </c>
      <c r="N33" s="8">
        <v>3</v>
      </c>
      <c r="O33" s="28">
        <f t="shared" si="0"/>
        <v>-1.9663152864248277</v>
      </c>
      <c r="P33" s="28">
        <f t="shared" si="1"/>
        <v>0.13997166266098199</v>
      </c>
      <c r="Q33" s="28">
        <f t="shared" si="2"/>
        <v>0.12278521233962321</v>
      </c>
      <c r="R33" s="5">
        <f t="shared" si="3"/>
        <v>0.87721478766037675</v>
      </c>
      <c r="S33" s="5">
        <f t="shared" si="4"/>
        <v>-5.6894055807589931E-2</v>
      </c>
      <c r="T33" s="5">
        <f t="shared" si="5"/>
        <v>1</v>
      </c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</row>
    <row r="34" spans="1:37" ht="15" x14ac:dyDescent="0.25">
      <c r="A34" s="8">
        <v>0</v>
      </c>
      <c r="B34" s="8">
        <v>43</v>
      </c>
      <c r="C34" s="8">
        <v>1</v>
      </c>
      <c r="D34" s="8">
        <v>4</v>
      </c>
      <c r="E34" s="8">
        <v>150</v>
      </c>
      <c r="F34" s="8">
        <v>247</v>
      </c>
      <c r="G34" s="8">
        <v>0</v>
      </c>
      <c r="H34" s="8">
        <v>0</v>
      </c>
      <c r="I34" s="8">
        <v>171</v>
      </c>
      <c r="J34" s="8">
        <v>0</v>
      </c>
      <c r="K34" s="8">
        <v>1.5</v>
      </c>
      <c r="L34" s="8">
        <v>1</v>
      </c>
      <c r="M34" s="8">
        <v>0</v>
      </c>
      <c r="N34" s="8">
        <v>3</v>
      </c>
      <c r="O34" s="28">
        <f t="shared" si="0"/>
        <v>-1.0859549428569979</v>
      </c>
      <c r="P34" s="28">
        <f t="shared" si="1"/>
        <v>0.33757926301787422</v>
      </c>
      <c r="Q34" s="28">
        <f t="shared" si="2"/>
        <v>0.25238075406179733</v>
      </c>
      <c r="R34" s="5">
        <f t="shared" si="3"/>
        <v>0.74761924593820273</v>
      </c>
      <c r="S34" s="5">
        <f t="shared" si="4"/>
        <v>-0.12631952712041997</v>
      </c>
      <c r="T34" s="5">
        <f t="shared" si="5"/>
        <v>1</v>
      </c>
      <c r="U34" s="3"/>
      <c r="V34" s="3"/>
      <c r="W34" s="3"/>
      <c r="X34" s="3"/>
      <c r="Y34" s="3"/>
      <c r="Z34" s="3"/>
      <c r="AA34" s="3"/>
      <c r="AB34" s="40"/>
      <c r="AC34" s="40"/>
      <c r="AD34" s="40"/>
      <c r="AE34" s="40"/>
      <c r="AF34" s="40"/>
      <c r="AG34" s="40"/>
      <c r="AH34" s="3"/>
      <c r="AI34" s="3"/>
      <c r="AJ34" s="3"/>
      <c r="AK34" s="3"/>
    </row>
    <row r="35" spans="1:37" ht="15" x14ac:dyDescent="0.25">
      <c r="A35" s="8">
        <v>1</v>
      </c>
      <c r="B35" s="8">
        <v>40</v>
      </c>
      <c r="C35" s="8">
        <v>1</v>
      </c>
      <c r="D35" s="8">
        <v>4</v>
      </c>
      <c r="E35" s="8">
        <v>110</v>
      </c>
      <c r="F35" s="8">
        <v>167</v>
      </c>
      <c r="G35" s="8">
        <v>0</v>
      </c>
      <c r="H35" s="8">
        <v>2</v>
      </c>
      <c r="I35" s="8">
        <v>114</v>
      </c>
      <c r="J35" s="8">
        <v>1</v>
      </c>
      <c r="K35" s="8">
        <v>2</v>
      </c>
      <c r="L35" s="8">
        <v>2</v>
      </c>
      <c r="M35" s="8">
        <v>0</v>
      </c>
      <c r="N35" s="8">
        <v>7</v>
      </c>
      <c r="O35" s="28">
        <f t="shared" si="0"/>
        <v>2.2589226784326248</v>
      </c>
      <c r="P35" s="28">
        <f t="shared" si="1"/>
        <v>9.5727706572973297</v>
      </c>
      <c r="Q35" s="28">
        <f t="shared" si="2"/>
        <v>0.90541741304964374</v>
      </c>
      <c r="R35" s="5">
        <f t="shared" si="3"/>
        <v>0.90541741304964374</v>
      </c>
      <c r="S35" s="5">
        <f t="shared" si="4"/>
        <v>-4.3151157379254824E-2</v>
      </c>
      <c r="T35" s="5">
        <f t="shared" si="5"/>
        <v>0</v>
      </c>
      <c r="U35" s="3"/>
      <c r="V35" s="3"/>
      <c r="W35" s="3"/>
      <c r="X35" s="3"/>
      <c r="Y35" s="3"/>
      <c r="Z35" s="3"/>
      <c r="AA35" s="3"/>
      <c r="AB35" s="40"/>
      <c r="AC35" s="40"/>
      <c r="AD35" s="40"/>
      <c r="AE35" s="40"/>
      <c r="AF35" s="40"/>
      <c r="AG35" s="40"/>
      <c r="AH35" s="3"/>
      <c r="AI35" s="3"/>
      <c r="AJ35" s="3"/>
      <c r="AK35" s="3"/>
    </row>
    <row r="36" spans="1:37" ht="15" x14ac:dyDescent="0.25">
      <c r="A36" s="8">
        <v>0</v>
      </c>
      <c r="B36" s="8">
        <v>69</v>
      </c>
      <c r="C36" s="8">
        <v>0</v>
      </c>
      <c r="D36" s="8">
        <v>1</v>
      </c>
      <c r="E36" s="8">
        <v>140</v>
      </c>
      <c r="F36" s="8">
        <v>239</v>
      </c>
      <c r="G36" s="8">
        <v>0</v>
      </c>
      <c r="H36" s="8">
        <v>0</v>
      </c>
      <c r="I36" s="8">
        <v>151</v>
      </c>
      <c r="J36" s="8">
        <v>0</v>
      </c>
      <c r="K36" s="8">
        <v>1.8</v>
      </c>
      <c r="L36" s="8">
        <v>1</v>
      </c>
      <c r="M36" s="8">
        <v>2</v>
      </c>
      <c r="N36" s="8">
        <v>3</v>
      </c>
      <c r="O36" s="28">
        <f t="shared" si="0"/>
        <v>-1.7513829874512661</v>
      </c>
      <c r="P36" s="28">
        <f t="shared" si="1"/>
        <v>0.17353378237545139</v>
      </c>
      <c r="Q36" s="28">
        <f t="shared" si="2"/>
        <v>0.14787284778814516</v>
      </c>
      <c r="R36" s="5">
        <f t="shared" si="3"/>
        <v>0.85212715221185487</v>
      </c>
      <c r="S36" s="5">
        <f t="shared" si="4"/>
        <v>-6.9495596097430931E-2</v>
      </c>
      <c r="T36" s="5">
        <f t="shared" si="5"/>
        <v>0</v>
      </c>
      <c r="U36" s="3"/>
      <c r="V36" s="3"/>
      <c r="W36" s="3"/>
      <c r="X36" s="3"/>
      <c r="Y36" s="3"/>
      <c r="Z36" s="3"/>
      <c r="AA36" s="3"/>
      <c r="AB36" s="40"/>
      <c r="AC36" s="40"/>
      <c r="AD36" s="40"/>
      <c r="AE36" s="40"/>
      <c r="AF36" s="40"/>
      <c r="AG36" s="40"/>
      <c r="AH36" s="3"/>
      <c r="AI36" s="3"/>
      <c r="AJ36" s="3"/>
      <c r="AK36" s="3"/>
    </row>
    <row r="37" spans="1:37" ht="15" x14ac:dyDescent="0.25">
      <c r="A37" s="8">
        <v>1</v>
      </c>
      <c r="B37" s="8">
        <v>60</v>
      </c>
      <c r="C37" s="8">
        <v>1</v>
      </c>
      <c r="D37" s="8">
        <v>4</v>
      </c>
      <c r="E37" s="8">
        <v>117</v>
      </c>
      <c r="F37" s="8">
        <v>230</v>
      </c>
      <c r="G37" s="8">
        <v>1</v>
      </c>
      <c r="H37" s="8">
        <v>0</v>
      </c>
      <c r="I37" s="8">
        <v>160</v>
      </c>
      <c r="J37" s="8">
        <v>1</v>
      </c>
      <c r="K37" s="8">
        <v>1.4</v>
      </c>
      <c r="L37" s="8">
        <v>1</v>
      </c>
      <c r="M37" s="8">
        <v>2</v>
      </c>
      <c r="N37" s="8">
        <v>7</v>
      </c>
      <c r="O37" s="28">
        <f t="shared" si="0"/>
        <v>1.8129414415814518</v>
      </c>
      <c r="P37" s="28">
        <f t="shared" si="1"/>
        <v>6.1284474163618379</v>
      </c>
      <c r="Q37" s="28">
        <f t="shared" si="2"/>
        <v>0.8597169984441897</v>
      </c>
      <c r="R37" s="5">
        <f t="shared" si="3"/>
        <v>0.8597169984441897</v>
      </c>
      <c r="S37" s="5">
        <f t="shared" si="4"/>
        <v>-6.5644486245890268E-2</v>
      </c>
      <c r="T37" s="5">
        <f t="shared" si="5"/>
        <v>1</v>
      </c>
      <c r="U37" s="3"/>
      <c r="V37" s="3"/>
      <c r="W37" s="3"/>
      <c r="X37" s="3"/>
      <c r="Y37" s="3"/>
      <c r="Z37" s="3"/>
      <c r="AA37" s="3"/>
      <c r="AB37" s="40"/>
      <c r="AC37" s="40"/>
      <c r="AD37" s="40"/>
      <c r="AE37" s="40"/>
      <c r="AF37" s="40"/>
      <c r="AG37" s="40"/>
      <c r="AH37" s="3"/>
      <c r="AI37" s="3"/>
      <c r="AJ37" s="3"/>
      <c r="AK37" s="3"/>
    </row>
    <row r="38" spans="1:37" ht="15" x14ac:dyDescent="0.25">
      <c r="A38" s="8">
        <v>1</v>
      </c>
      <c r="B38" s="8">
        <v>64</v>
      </c>
      <c r="C38" s="8">
        <v>1</v>
      </c>
      <c r="D38" s="8">
        <v>3</v>
      </c>
      <c r="E38" s="8">
        <v>140</v>
      </c>
      <c r="F38" s="8">
        <v>335</v>
      </c>
      <c r="G38" s="8">
        <v>0</v>
      </c>
      <c r="H38" s="8">
        <v>0</v>
      </c>
      <c r="I38" s="8">
        <v>158</v>
      </c>
      <c r="J38" s="8">
        <v>0</v>
      </c>
      <c r="K38" s="8">
        <v>0</v>
      </c>
      <c r="L38" s="8">
        <v>1</v>
      </c>
      <c r="M38" s="8">
        <v>0</v>
      </c>
      <c r="N38" s="8">
        <v>3</v>
      </c>
      <c r="O38" s="28">
        <f t="shared" si="0"/>
        <v>-1.8624842338592771</v>
      </c>
      <c r="P38" s="28">
        <f t="shared" si="1"/>
        <v>0.15528638311157172</v>
      </c>
      <c r="Q38" s="28">
        <f t="shared" si="2"/>
        <v>0.13441375695378119</v>
      </c>
      <c r="R38" s="5">
        <f t="shared" si="3"/>
        <v>0.13441375695378119</v>
      </c>
      <c r="S38" s="5">
        <f t="shared" si="4"/>
        <v>-0.8715562799178892</v>
      </c>
      <c r="T38" s="5">
        <f t="shared" si="5"/>
        <v>1</v>
      </c>
      <c r="U38" s="3"/>
      <c r="V38" s="3"/>
      <c r="W38" s="3"/>
      <c r="X38" s="3"/>
      <c r="Y38" s="3"/>
      <c r="Z38" s="3"/>
      <c r="AA38" s="3"/>
      <c r="AB38" s="40"/>
      <c r="AC38" s="40"/>
      <c r="AD38" s="40"/>
      <c r="AE38" s="40"/>
      <c r="AF38" s="40"/>
      <c r="AG38" s="40"/>
      <c r="AH38" s="3"/>
      <c r="AI38" s="3"/>
      <c r="AJ38" s="3"/>
      <c r="AK38" s="3"/>
    </row>
    <row r="39" spans="1:37" ht="15" x14ac:dyDescent="0.25">
      <c r="A39" s="8">
        <v>0</v>
      </c>
      <c r="B39" s="8">
        <v>59</v>
      </c>
      <c r="C39" s="8">
        <v>1</v>
      </c>
      <c r="D39" s="8">
        <v>4</v>
      </c>
      <c r="E39" s="8">
        <v>135</v>
      </c>
      <c r="F39" s="8">
        <v>234</v>
      </c>
      <c r="G39" s="8">
        <v>0</v>
      </c>
      <c r="H39" s="8">
        <v>0</v>
      </c>
      <c r="I39" s="8">
        <v>161</v>
      </c>
      <c r="J39" s="8">
        <v>0</v>
      </c>
      <c r="K39" s="8">
        <v>0.5</v>
      </c>
      <c r="L39" s="8">
        <v>2</v>
      </c>
      <c r="M39" s="8">
        <v>0</v>
      </c>
      <c r="N39" s="8">
        <v>7</v>
      </c>
      <c r="O39" s="28">
        <f t="shared" si="0"/>
        <v>0.1670318864320226</v>
      </c>
      <c r="P39" s="28">
        <f t="shared" si="1"/>
        <v>1.1817919478361871</v>
      </c>
      <c r="Q39" s="28">
        <f t="shared" si="2"/>
        <v>0.54166115564237949</v>
      </c>
      <c r="R39" s="5">
        <f t="shared" si="3"/>
        <v>0.45833884435762051</v>
      </c>
      <c r="S39" s="5">
        <f t="shared" si="4"/>
        <v>-0.33881333460491164</v>
      </c>
      <c r="T39" s="5">
        <f t="shared" si="5"/>
        <v>1</v>
      </c>
      <c r="U39" s="3"/>
      <c r="V39" s="3"/>
      <c r="W39" s="3"/>
      <c r="X39" s="3"/>
      <c r="Y39" s="3"/>
      <c r="Z39" s="3"/>
      <c r="AA39" s="3"/>
      <c r="AB39" s="40"/>
      <c r="AC39" s="40"/>
      <c r="AD39" s="40"/>
      <c r="AE39" s="40"/>
      <c r="AF39" s="40"/>
      <c r="AG39" s="40"/>
      <c r="AH39" s="3"/>
      <c r="AI39" s="3"/>
      <c r="AJ39" s="3"/>
      <c r="AK39" s="3"/>
    </row>
    <row r="40" spans="1:37" ht="15" x14ac:dyDescent="0.25">
      <c r="A40" s="8">
        <v>0</v>
      </c>
      <c r="B40" s="8">
        <v>44</v>
      </c>
      <c r="C40" s="8">
        <v>1</v>
      </c>
      <c r="D40" s="8">
        <v>3</v>
      </c>
      <c r="E40" s="8">
        <v>130</v>
      </c>
      <c r="F40" s="8">
        <v>233</v>
      </c>
      <c r="G40" s="8">
        <v>0</v>
      </c>
      <c r="H40" s="8">
        <v>0</v>
      </c>
      <c r="I40" s="8">
        <v>179</v>
      </c>
      <c r="J40" s="8">
        <v>1</v>
      </c>
      <c r="K40" s="8">
        <v>0.4</v>
      </c>
      <c r="L40" s="8">
        <v>1</v>
      </c>
      <c r="M40" s="8">
        <v>0</v>
      </c>
      <c r="N40" s="8">
        <v>3</v>
      </c>
      <c r="O40" s="28">
        <f t="shared" si="0"/>
        <v>-1.7380538986196337</v>
      </c>
      <c r="P40" s="28">
        <f t="shared" si="1"/>
        <v>0.17586231370177227</v>
      </c>
      <c r="Q40" s="28">
        <f t="shared" si="2"/>
        <v>0.14956029430702147</v>
      </c>
      <c r="R40" s="5">
        <f t="shared" si="3"/>
        <v>0.85043970569297855</v>
      </c>
      <c r="S40" s="5">
        <f t="shared" si="4"/>
        <v>-7.0356471484750605E-2</v>
      </c>
      <c r="T40" s="5">
        <f t="shared" si="5"/>
        <v>1</v>
      </c>
      <c r="U40" s="3"/>
      <c r="V40" s="3"/>
      <c r="W40" s="3"/>
      <c r="X40" s="3"/>
      <c r="Y40" s="3"/>
      <c r="Z40" s="3"/>
      <c r="AA40" s="3"/>
      <c r="AB40" s="40"/>
      <c r="AC40" s="40"/>
      <c r="AD40" s="40"/>
      <c r="AE40" s="40"/>
      <c r="AF40" s="40"/>
      <c r="AG40" s="40"/>
      <c r="AH40" s="3"/>
      <c r="AI40" s="3"/>
      <c r="AJ40" s="3"/>
      <c r="AK40" s="3"/>
    </row>
    <row r="41" spans="1:37" ht="15" x14ac:dyDescent="0.25">
      <c r="A41" s="8">
        <v>0</v>
      </c>
      <c r="B41" s="8">
        <v>42</v>
      </c>
      <c r="C41" s="8">
        <v>1</v>
      </c>
      <c r="D41" s="8">
        <v>4</v>
      </c>
      <c r="E41" s="8">
        <v>140</v>
      </c>
      <c r="F41" s="8">
        <v>226</v>
      </c>
      <c r="G41" s="8">
        <v>0</v>
      </c>
      <c r="H41" s="8">
        <v>0</v>
      </c>
      <c r="I41" s="8">
        <v>178</v>
      </c>
      <c r="J41" s="8">
        <v>0</v>
      </c>
      <c r="K41" s="8">
        <v>0</v>
      </c>
      <c r="L41" s="8">
        <v>1</v>
      </c>
      <c r="M41" s="8">
        <v>0</v>
      </c>
      <c r="N41" s="8">
        <v>3</v>
      </c>
      <c r="O41" s="28">
        <f t="shared" si="0"/>
        <v>-1.9328113167557905</v>
      </c>
      <c r="P41" s="28">
        <f t="shared" si="1"/>
        <v>0.14474071397354887</v>
      </c>
      <c r="Q41" s="28">
        <f t="shared" si="2"/>
        <v>0.1264397362710499</v>
      </c>
      <c r="R41" s="5">
        <f t="shared" si="3"/>
        <v>0.87356026372895013</v>
      </c>
      <c r="S41" s="5">
        <f t="shared" si="4"/>
        <v>-5.8707129259002372E-2</v>
      </c>
      <c r="T41" s="5">
        <f t="shared" si="5"/>
        <v>1</v>
      </c>
      <c r="U41" s="3"/>
      <c r="V41" s="3"/>
      <c r="W41" s="3"/>
      <c r="X41" s="3"/>
      <c r="Y41" s="3"/>
      <c r="Z41" s="3"/>
      <c r="AA41" s="3"/>
      <c r="AB41" s="40"/>
      <c r="AC41" s="40"/>
      <c r="AD41" s="40"/>
      <c r="AE41" s="40"/>
      <c r="AF41" s="40"/>
      <c r="AG41" s="40"/>
      <c r="AH41" s="3"/>
      <c r="AI41" s="3"/>
      <c r="AJ41" s="3"/>
      <c r="AK41" s="3"/>
    </row>
    <row r="42" spans="1:37" ht="15" x14ac:dyDescent="0.25">
      <c r="A42" s="8">
        <v>1</v>
      </c>
      <c r="B42" s="8">
        <v>43</v>
      </c>
      <c r="C42" s="8">
        <v>1</v>
      </c>
      <c r="D42" s="8">
        <v>4</v>
      </c>
      <c r="E42" s="8">
        <v>120</v>
      </c>
      <c r="F42" s="8">
        <v>177</v>
      </c>
      <c r="G42" s="8">
        <v>0</v>
      </c>
      <c r="H42" s="8">
        <v>2</v>
      </c>
      <c r="I42" s="8">
        <v>120</v>
      </c>
      <c r="J42" s="8">
        <v>1</v>
      </c>
      <c r="K42" s="8">
        <v>2.5</v>
      </c>
      <c r="L42" s="8">
        <v>2</v>
      </c>
      <c r="M42" s="8">
        <v>0</v>
      </c>
      <c r="N42" s="8">
        <v>7</v>
      </c>
      <c r="O42" s="28">
        <f t="shared" si="0"/>
        <v>2.506554479486506</v>
      </c>
      <c r="P42" s="28">
        <f t="shared" si="1"/>
        <v>12.262606127430733</v>
      </c>
      <c r="Q42" s="28">
        <f t="shared" si="2"/>
        <v>0.9246000378514051</v>
      </c>
      <c r="R42" s="5">
        <f t="shared" si="3"/>
        <v>0.9246000378514051</v>
      </c>
      <c r="S42" s="5">
        <f t="shared" si="4"/>
        <v>-3.4046093118728714E-2</v>
      </c>
      <c r="T42" s="5">
        <f t="shared" si="5"/>
        <v>1</v>
      </c>
      <c r="U42" s="3"/>
      <c r="V42" s="3"/>
      <c r="W42" s="3"/>
      <c r="X42" s="3"/>
      <c r="Y42" s="3"/>
      <c r="Z42" s="3"/>
      <c r="AA42" s="3"/>
      <c r="AB42" s="40"/>
      <c r="AC42" s="40"/>
      <c r="AD42" s="40"/>
      <c r="AE42" s="40"/>
      <c r="AF42" s="40"/>
      <c r="AG42" s="40"/>
      <c r="AH42" s="3"/>
      <c r="AI42" s="3"/>
      <c r="AJ42" s="3"/>
      <c r="AK42" s="3"/>
    </row>
    <row r="43" spans="1:37" ht="15" x14ac:dyDescent="0.25">
      <c r="A43" s="8">
        <v>1</v>
      </c>
      <c r="B43" s="8">
        <v>57</v>
      </c>
      <c r="C43" s="8">
        <v>1</v>
      </c>
      <c r="D43" s="8">
        <v>4</v>
      </c>
      <c r="E43" s="8">
        <v>150</v>
      </c>
      <c r="F43" s="8">
        <v>276</v>
      </c>
      <c r="G43" s="8">
        <v>0</v>
      </c>
      <c r="H43" s="8">
        <v>2</v>
      </c>
      <c r="I43" s="8">
        <v>112</v>
      </c>
      <c r="J43" s="8">
        <v>1</v>
      </c>
      <c r="K43" s="8">
        <v>0.6</v>
      </c>
      <c r="L43" s="8">
        <v>2</v>
      </c>
      <c r="M43" s="8">
        <v>1</v>
      </c>
      <c r="N43" s="8">
        <v>6</v>
      </c>
      <c r="O43" s="28">
        <f t="shared" si="0"/>
        <v>4.1432985091899903</v>
      </c>
      <c r="P43" s="28">
        <f t="shared" si="1"/>
        <v>63.010319161330322</v>
      </c>
      <c r="Q43" s="28">
        <f t="shared" si="2"/>
        <v>0.98437751892035363</v>
      </c>
      <c r="R43" s="5">
        <f t="shared" si="3"/>
        <v>0.98437751892035363</v>
      </c>
      <c r="S43" s="5">
        <f t="shared" si="4"/>
        <v>-6.8383132141807378E-3</v>
      </c>
      <c r="T43" s="5">
        <f t="shared" si="5"/>
        <v>1</v>
      </c>
      <c r="U43" s="3"/>
      <c r="V43" s="3"/>
      <c r="W43" s="3"/>
      <c r="X43" s="3"/>
      <c r="Y43" s="3"/>
      <c r="Z43" s="3"/>
      <c r="AA43" s="3"/>
      <c r="AB43" s="40"/>
      <c r="AC43" s="40"/>
      <c r="AD43" s="40"/>
      <c r="AE43" s="40"/>
      <c r="AF43" s="40"/>
      <c r="AG43" s="40"/>
      <c r="AH43" s="3"/>
      <c r="AI43" s="3"/>
      <c r="AJ43" s="3"/>
      <c r="AK43" s="3"/>
    </row>
    <row r="44" spans="1:37" ht="15" x14ac:dyDescent="0.25">
      <c r="A44" s="8">
        <v>1</v>
      </c>
      <c r="B44" s="8">
        <v>55</v>
      </c>
      <c r="C44" s="8">
        <v>1</v>
      </c>
      <c r="D44" s="8">
        <v>4</v>
      </c>
      <c r="E44" s="8">
        <v>132</v>
      </c>
      <c r="F44" s="8">
        <v>353</v>
      </c>
      <c r="G44" s="8">
        <v>0</v>
      </c>
      <c r="H44" s="8">
        <v>0</v>
      </c>
      <c r="I44" s="8">
        <v>132</v>
      </c>
      <c r="J44" s="8">
        <v>1</v>
      </c>
      <c r="K44" s="8">
        <v>1.2</v>
      </c>
      <c r="L44" s="8">
        <v>2</v>
      </c>
      <c r="M44" s="8">
        <v>1</v>
      </c>
      <c r="N44" s="8">
        <v>7</v>
      </c>
      <c r="O44" s="28">
        <f t="shared" si="0"/>
        <v>3.7121881965633294</v>
      </c>
      <c r="P44" s="28">
        <f t="shared" si="1"/>
        <v>40.94330056559577</v>
      </c>
      <c r="Q44" s="28">
        <f t="shared" si="2"/>
        <v>0.97615829020331657</v>
      </c>
      <c r="R44" s="5">
        <f t="shared" si="3"/>
        <v>0.97615829020331657</v>
      </c>
      <c r="S44" s="5">
        <f t="shared" si="4"/>
        <v>-1.0479753042471089E-2</v>
      </c>
      <c r="T44" s="5">
        <f t="shared" si="5"/>
        <v>1</v>
      </c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</row>
    <row r="45" spans="1:37" ht="15" x14ac:dyDescent="0.25">
      <c r="A45" s="8">
        <v>0</v>
      </c>
      <c r="B45" s="8">
        <v>61</v>
      </c>
      <c r="C45" s="8">
        <v>1</v>
      </c>
      <c r="D45" s="8">
        <v>3</v>
      </c>
      <c r="E45" s="8">
        <v>150</v>
      </c>
      <c r="F45" s="8">
        <v>243</v>
      </c>
      <c r="G45" s="8">
        <v>1</v>
      </c>
      <c r="H45" s="8">
        <v>0</v>
      </c>
      <c r="I45" s="8">
        <v>137</v>
      </c>
      <c r="J45" s="8">
        <v>1</v>
      </c>
      <c r="K45" s="8">
        <v>1</v>
      </c>
      <c r="L45" s="8">
        <v>2</v>
      </c>
      <c r="M45" s="8">
        <v>0</v>
      </c>
      <c r="N45" s="8">
        <v>3</v>
      </c>
      <c r="O45" s="28">
        <f t="shared" si="0"/>
        <v>-0.8835741290200998</v>
      </c>
      <c r="P45" s="28">
        <f t="shared" si="1"/>
        <v>0.41330307018745344</v>
      </c>
      <c r="Q45" s="28">
        <f t="shared" si="2"/>
        <v>0.2924376794374578</v>
      </c>
      <c r="R45" s="5">
        <f t="shared" si="3"/>
        <v>0.7075623205625422</v>
      </c>
      <c r="S45" s="5">
        <f t="shared" si="4"/>
        <v>-0.15023530239808655</v>
      </c>
      <c r="T45" s="5">
        <f t="shared" si="5"/>
        <v>1</v>
      </c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</row>
    <row r="46" spans="1:37" ht="15" x14ac:dyDescent="0.25">
      <c r="A46" s="8">
        <v>1</v>
      </c>
      <c r="B46" s="8">
        <v>65</v>
      </c>
      <c r="C46" s="8">
        <v>0</v>
      </c>
      <c r="D46" s="8">
        <v>4</v>
      </c>
      <c r="E46" s="8">
        <v>150</v>
      </c>
      <c r="F46" s="8">
        <v>225</v>
      </c>
      <c r="G46" s="8">
        <v>0</v>
      </c>
      <c r="H46" s="8">
        <v>2</v>
      </c>
      <c r="I46" s="8">
        <v>114</v>
      </c>
      <c r="J46" s="8">
        <v>0</v>
      </c>
      <c r="K46" s="8">
        <v>1</v>
      </c>
      <c r="L46" s="8">
        <v>2</v>
      </c>
      <c r="M46" s="8">
        <v>3</v>
      </c>
      <c r="N46" s="8">
        <v>7</v>
      </c>
      <c r="O46" s="28">
        <f t="shared" si="0"/>
        <v>4.4740203039982847</v>
      </c>
      <c r="P46" s="28">
        <f t="shared" si="1"/>
        <v>87.708630509820978</v>
      </c>
      <c r="Q46" s="28">
        <f t="shared" si="2"/>
        <v>0.98872713969032255</v>
      </c>
      <c r="R46" s="5">
        <f t="shared" si="3"/>
        <v>0.98872713969032255</v>
      </c>
      <c r="S46" s="5">
        <f t="shared" si="4"/>
        <v>-4.9235446787122905E-3</v>
      </c>
      <c r="T46" s="5">
        <f t="shared" si="5"/>
        <v>1</v>
      </c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</row>
    <row r="47" spans="1:37" ht="15" x14ac:dyDescent="0.25">
      <c r="A47" s="8">
        <v>0</v>
      </c>
      <c r="B47" s="8">
        <v>40</v>
      </c>
      <c r="C47" s="8">
        <v>1</v>
      </c>
      <c r="D47" s="8">
        <v>1</v>
      </c>
      <c r="E47" s="8">
        <v>140</v>
      </c>
      <c r="F47" s="8">
        <v>199</v>
      </c>
      <c r="G47" s="8">
        <v>0</v>
      </c>
      <c r="H47" s="8">
        <v>0</v>
      </c>
      <c r="I47" s="8">
        <v>178</v>
      </c>
      <c r="J47" s="8">
        <v>1</v>
      </c>
      <c r="K47" s="8">
        <v>1.4</v>
      </c>
      <c r="L47" s="8">
        <v>1</v>
      </c>
      <c r="M47" s="8">
        <v>0</v>
      </c>
      <c r="N47" s="8">
        <v>7</v>
      </c>
      <c r="O47" s="28">
        <f t="shared" si="0"/>
        <v>-1.1188393766183813</v>
      </c>
      <c r="P47" s="28">
        <f t="shared" si="1"/>
        <v>0.32665870242372136</v>
      </c>
      <c r="Q47" s="28">
        <f t="shared" si="2"/>
        <v>0.24622663072796089</v>
      </c>
      <c r="R47" s="5">
        <f t="shared" si="3"/>
        <v>0.75377336927203908</v>
      </c>
      <c r="S47" s="5">
        <f t="shared" si="4"/>
        <v>-0.12275921019034775</v>
      </c>
      <c r="T47" s="5">
        <f t="shared" si="5"/>
        <v>1</v>
      </c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</row>
    <row r="48" spans="1:37" ht="15" x14ac:dyDescent="0.25">
      <c r="A48" s="8">
        <v>0</v>
      </c>
      <c r="B48" s="8">
        <v>71</v>
      </c>
      <c r="C48" s="8">
        <v>0</v>
      </c>
      <c r="D48" s="8">
        <v>2</v>
      </c>
      <c r="E48" s="8">
        <v>160</v>
      </c>
      <c r="F48" s="8">
        <v>302</v>
      </c>
      <c r="G48" s="8">
        <v>0</v>
      </c>
      <c r="H48" s="8">
        <v>0</v>
      </c>
      <c r="I48" s="8">
        <v>162</v>
      </c>
      <c r="J48" s="8">
        <v>0</v>
      </c>
      <c r="K48" s="8">
        <v>0.4</v>
      </c>
      <c r="L48" s="8">
        <v>1</v>
      </c>
      <c r="M48" s="8">
        <v>2</v>
      </c>
      <c r="N48" s="8">
        <v>3</v>
      </c>
      <c r="O48" s="28">
        <f t="shared" si="0"/>
        <v>-0.9817948560258758</v>
      </c>
      <c r="P48" s="28">
        <f t="shared" si="1"/>
        <v>0.37463807363640905</v>
      </c>
      <c r="Q48" s="28">
        <f t="shared" si="2"/>
        <v>0.2725357901992031</v>
      </c>
      <c r="R48" s="5">
        <f t="shared" si="3"/>
        <v>0.72746420980079685</v>
      </c>
      <c r="S48" s="5">
        <f t="shared" si="4"/>
        <v>-0.13818836848414792</v>
      </c>
      <c r="T48" s="5">
        <f t="shared" si="5"/>
        <v>1</v>
      </c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</row>
    <row r="49" spans="1:37" ht="15" x14ac:dyDescent="0.25">
      <c r="A49" s="8">
        <v>0</v>
      </c>
      <c r="B49" s="8">
        <v>59</v>
      </c>
      <c r="C49" s="8">
        <v>1</v>
      </c>
      <c r="D49" s="8">
        <v>3</v>
      </c>
      <c r="E49" s="8">
        <v>150</v>
      </c>
      <c r="F49" s="8">
        <v>212</v>
      </c>
      <c r="G49" s="8">
        <v>1</v>
      </c>
      <c r="H49" s="8">
        <v>0</v>
      </c>
      <c r="I49" s="8">
        <v>157</v>
      </c>
      <c r="J49" s="8">
        <v>0</v>
      </c>
      <c r="K49" s="8">
        <v>1.6</v>
      </c>
      <c r="L49" s="8">
        <v>1</v>
      </c>
      <c r="M49" s="8">
        <v>0</v>
      </c>
      <c r="N49" s="8">
        <v>3</v>
      </c>
      <c r="O49" s="28">
        <f t="shared" si="0"/>
        <v>-2.7711896642469833</v>
      </c>
      <c r="P49" s="28">
        <f t="shared" si="1"/>
        <v>6.2587502320687619E-2</v>
      </c>
      <c r="Q49" s="28">
        <f t="shared" si="2"/>
        <v>5.8901033735101076E-2</v>
      </c>
      <c r="R49" s="5">
        <f t="shared" si="3"/>
        <v>0.94109896626489897</v>
      </c>
      <c r="S49" s="5">
        <f t="shared" si="4"/>
        <v>-2.6364703626155051E-2</v>
      </c>
      <c r="T49" s="5">
        <f t="shared" si="5"/>
        <v>1</v>
      </c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</row>
    <row r="50" spans="1:37" ht="15" x14ac:dyDescent="0.25">
      <c r="A50" s="8">
        <v>1</v>
      </c>
      <c r="B50" s="8">
        <v>61</v>
      </c>
      <c r="C50" s="8">
        <v>0</v>
      </c>
      <c r="D50" s="8">
        <v>4</v>
      </c>
      <c r="E50" s="8">
        <v>130</v>
      </c>
      <c r="F50" s="8">
        <v>330</v>
      </c>
      <c r="G50" s="8">
        <v>0</v>
      </c>
      <c r="H50" s="8">
        <v>2</v>
      </c>
      <c r="I50" s="8">
        <v>169</v>
      </c>
      <c r="J50" s="8">
        <v>0</v>
      </c>
      <c r="K50" s="8">
        <v>0</v>
      </c>
      <c r="L50" s="8">
        <v>1</v>
      </c>
      <c r="M50" s="8">
        <v>0</v>
      </c>
      <c r="N50" s="8">
        <v>3</v>
      </c>
      <c r="O50" s="28">
        <f t="shared" si="0"/>
        <v>-2.5585699997341464</v>
      </c>
      <c r="P50" s="28">
        <f t="shared" si="1"/>
        <v>7.7415365320636004E-2</v>
      </c>
      <c r="Q50" s="28">
        <f t="shared" si="2"/>
        <v>7.1852850639082352E-2</v>
      </c>
      <c r="R50" s="5">
        <f t="shared" si="3"/>
        <v>7.1852850639082352E-2</v>
      </c>
      <c r="S50" s="5">
        <f t="shared" si="4"/>
        <v>-1.1435559972964231</v>
      </c>
      <c r="T50" s="5">
        <f t="shared" si="5"/>
        <v>1</v>
      </c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</row>
    <row r="51" spans="1:37" ht="15" x14ac:dyDescent="0.25">
      <c r="A51" s="8">
        <v>1</v>
      </c>
      <c r="B51" s="8">
        <v>58</v>
      </c>
      <c r="C51" s="8">
        <v>1</v>
      </c>
      <c r="D51" s="8">
        <v>3</v>
      </c>
      <c r="E51" s="8">
        <v>112</v>
      </c>
      <c r="F51" s="8">
        <v>230</v>
      </c>
      <c r="G51" s="8">
        <v>0</v>
      </c>
      <c r="H51" s="8">
        <v>2</v>
      </c>
      <c r="I51" s="8">
        <v>165</v>
      </c>
      <c r="J51" s="8">
        <v>0</v>
      </c>
      <c r="K51" s="8">
        <v>2.5</v>
      </c>
      <c r="L51" s="8">
        <v>2</v>
      </c>
      <c r="M51" s="8">
        <v>1</v>
      </c>
      <c r="N51" s="8">
        <v>7</v>
      </c>
      <c r="O51" s="28">
        <f t="shared" si="0"/>
        <v>1.2024107872804324</v>
      </c>
      <c r="P51" s="28">
        <f t="shared" si="1"/>
        <v>3.3281306742272534</v>
      </c>
      <c r="Q51" s="28">
        <f t="shared" si="2"/>
        <v>0.76895337149714393</v>
      </c>
      <c r="R51" s="5">
        <f t="shared" si="3"/>
        <v>0.76895337149714393</v>
      </c>
      <c r="S51" s="5">
        <f t="shared" si="4"/>
        <v>-0.11409999454897425</v>
      </c>
      <c r="T51" s="5">
        <f t="shared" si="5"/>
        <v>1</v>
      </c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</row>
    <row r="52" spans="1:37" ht="15" x14ac:dyDescent="0.25">
      <c r="A52" s="8">
        <v>0</v>
      </c>
      <c r="B52" s="8">
        <v>51</v>
      </c>
      <c r="C52" s="8">
        <v>1</v>
      </c>
      <c r="D52" s="8">
        <v>3</v>
      </c>
      <c r="E52" s="8">
        <v>110</v>
      </c>
      <c r="F52" s="8">
        <v>175</v>
      </c>
      <c r="G52" s="8">
        <v>0</v>
      </c>
      <c r="H52" s="8">
        <v>0</v>
      </c>
      <c r="I52" s="8">
        <v>123</v>
      </c>
      <c r="J52" s="8">
        <v>0</v>
      </c>
      <c r="K52" s="8">
        <v>0.6</v>
      </c>
      <c r="L52" s="8">
        <v>1</v>
      </c>
      <c r="M52" s="8">
        <v>0</v>
      </c>
      <c r="N52" s="8">
        <v>3</v>
      </c>
      <c r="O52" s="28">
        <f t="shared" si="0"/>
        <v>-2.3273884355743064</v>
      </c>
      <c r="P52" s="28">
        <f t="shared" si="1"/>
        <v>9.7550173281995112E-2</v>
      </c>
      <c r="Q52" s="28">
        <f t="shared" si="2"/>
        <v>8.8879921534968792E-2</v>
      </c>
      <c r="R52" s="5">
        <f t="shared" si="3"/>
        <v>0.91112007846503118</v>
      </c>
      <c r="S52" s="5">
        <f t="shared" si="4"/>
        <v>-4.0424382655798688E-2</v>
      </c>
      <c r="T52" s="5">
        <f t="shared" si="5"/>
        <v>1</v>
      </c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</row>
    <row r="53" spans="1:37" ht="15" x14ac:dyDescent="0.25">
      <c r="A53" s="8">
        <v>1</v>
      </c>
      <c r="B53" s="8">
        <v>50</v>
      </c>
      <c r="C53" s="8">
        <v>1</v>
      </c>
      <c r="D53" s="8">
        <v>4</v>
      </c>
      <c r="E53" s="8">
        <v>150</v>
      </c>
      <c r="F53" s="8">
        <v>243</v>
      </c>
      <c r="G53" s="8">
        <v>0</v>
      </c>
      <c r="H53" s="8">
        <v>2</v>
      </c>
      <c r="I53" s="8">
        <v>128</v>
      </c>
      <c r="J53" s="8">
        <v>0</v>
      </c>
      <c r="K53" s="8">
        <v>2.6</v>
      </c>
      <c r="L53" s="8">
        <v>2</v>
      </c>
      <c r="M53" s="8">
        <v>0</v>
      </c>
      <c r="N53" s="8">
        <v>7</v>
      </c>
      <c r="O53" s="28">
        <f t="shared" si="0"/>
        <v>2.3917197390047766</v>
      </c>
      <c r="P53" s="28">
        <f t="shared" si="1"/>
        <v>10.932278451850857</v>
      </c>
      <c r="Q53" s="28">
        <f t="shared" si="2"/>
        <v>0.9161937090191784</v>
      </c>
      <c r="R53" s="5">
        <f t="shared" si="3"/>
        <v>0.9161937090191784</v>
      </c>
      <c r="S53" s="5">
        <f t="shared" si="4"/>
        <v>-3.8012694602760522E-2</v>
      </c>
      <c r="T53" s="5">
        <f t="shared" si="5"/>
        <v>0</v>
      </c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</row>
    <row r="54" spans="1:37" ht="15" x14ac:dyDescent="0.25">
      <c r="A54" s="8">
        <v>0</v>
      </c>
      <c r="B54" s="8">
        <v>65</v>
      </c>
      <c r="C54" s="8">
        <v>0</v>
      </c>
      <c r="D54" s="8">
        <v>3</v>
      </c>
      <c r="E54" s="8">
        <v>140</v>
      </c>
      <c r="F54" s="8">
        <v>417</v>
      </c>
      <c r="G54" s="8">
        <v>1</v>
      </c>
      <c r="H54" s="8">
        <v>2</v>
      </c>
      <c r="I54" s="8">
        <v>157</v>
      </c>
      <c r="J54" s="8">
        <v>0</v>
      </c>
      <c r="K54" s="8">
        <v>0.8</v>
      </c>
      <c r="L54" s="8">
        <v>1</v>
      </c>
      <c r="M54" s="8">
        <v>1</v>
      </c>
      <c r="N54" s="8">
        <v>3</v>
      </c>
      <c r="O54" s="28">
        <f t="shared" si="0"/>
        <v>-1.8245340017208456</v>
      </c>
      <c r="P54" s="28">
        <f t="shared" si="1"/>
        <v>0.16129278878178999</v>
      </c>
      <c r="Q54" s="28">
        <f t="shared" si="2"/>
        <v>0.13889071760360111</v>
      </c>
      <c r="R54" s="5">
        <f t="shared" si="3"/>
        <v>0.86110928239639883</v>
      </c>
      <c r="S54" s="5">
        <f t="shared" si="4"/>
        <v>-6.4941729231590903E-2</v>
      </c>
      <c r="T54" s="5">
        <f t="shared" si="5"/>
        <v>0</v>
      </c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</row>
    <row r="55" spans="1:37" ht="15" x14ac:dyDescent="0.25">
      <c r="A55" s="8">
        <v>0</v>
      </c>
      <c r="B55" s="8">
        <v>53</v>
      </c>
      <c r="C55" s="8">
        <v>1</v>
      </c>
      <c r="D55" s="8">
        <v>3</v>
      </c>
      <c r="E55" s="8">
        <v>130</v>
      </c>
      <c r="F55" s="8">
        <v>197</v>
      </c>
      <c r="G55" s="8">
        <v>1</v>
      </c>
      <c r="H55" s="8">
        <v>2</v>
      </c>
      <c r="I55" s="8">
        <v>152</v>
      </c>
      <c r="J55" s="8">
        <v>0</v>
      </c>
      <c r="K55" s="8">
        <v>1.2</v>
      </c>
      <c r="L55" s="8">
        <v>3</v>
      </c>
      <c r="M55" s="8">
        <v>0</v>
      </c>
      <c r="N55" s="8">
        <v>3</v>
      </c>
      <c r="O55" s="28">
        <f t="shared" si="0"/>
        <v>-1.6072013583718769</v>
      </c>
      <c r="P55" s="28">
        <f t="shared" si="1"/>
        <v>0.20044781140298171</v>
      </c>
      <c r="Q55" s="28">
        <f t="shared" si="2"/>
        <v>0.16697753080053956</v>
      </c>
      <c r="R55" s="5">
        <f t="shared" si="3"/>
        <v>0.83302246919946044</v>
      </c>
      <c r="S55" s="5">
        <f t="shared" si="4"/>
        <v>-7.9343284166163014E-2</v>
      </c>
      <c r="T55" s="5">
        <f t="shared" si="5"/>
        <v>1</v>
      </c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</row>
    <row r="56" spans="1:37" ht="15" x14ac:dyDescent="0.25">
      <c r="A56" s="8">
        <v>0</v>
      </c>
      <c r="B56" s="8">
        <v>41</v>
      </c>
      <c r="C56" s="8">
        <v>0</v>
      </c>
      <c r="D56" s="8">
        <v>2</v>
      </c>
      <c r="E56" s="8">
        <v>105</v>
      </c>
      <c r="F56" s="8">
        <v>198</v>
      </c>
      <c r="G56" s="8">
        <v>0</v>
      </c>
      <c r="H56" s="8">
        <v>0</v>
      </c>
      <c r="I56" s="8">
        <v>168</v>
      </c>
      <c r="J56" s="8">
        <v>0</v>
      </c>
      <c r="K56" s="8">
        <v>0</v>
      </c>
      <c r="L56" s="8">
        <v>1</v>
      </c>
      <c r="M56" s="8">
        <v>1</v>
      </c>
      <c r="N56" s="8">
        <v>3</v>
      </c>
      <c r="O56" s="28">
        <f t="shared" si="0"/>
        <v>-3.889659126329386</v>
      </c>
      <c r="P56" s="28">
        <f t="shared" si="1"/>
        <v>2.045231650604561E-2</v>
      </c>
      <c r="Q56" s="28">
        <f t="shared" si="2"/>
        <v>2.0042402937623636E-2</v>
      </c>
      <c r="R56" s="5">
        <f t="shared" si="3"/>
        <v>0.9799575970623764</v>
      </c>
      <c r="S56" s="5">
        <f t="shared" si="4"/>
        <v>-8.7927158995853936E-3</v>
      </c>
      <c r="T56" s="5">
        <f t="shared" si="5"/>
        <v>0</v>
      </c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</row>
    <row r="57" spans="1:37" ht="15" x14ac:dyDescent="0.25">
      <c r="A57" s="8">
        <v>0</v>
      </c>
      <c r="B57" s="8">
        <v>65</v>
      </c>
      <c r="C57" s="8">
        <v>1</v>
      </c>
      <c r="D57" s="8">
        <v>4</v>
      </c>
      <c r="E57" s="8">
        <v>120</v>
      </c>
      <c r="F57" s="8">
        <v>177</v>
      </c>
      <c r="G57" s="8">
        <v>0</v>
      </c>
      <c r="H57" s="8">
        <v>0</v>
      </c>
      <c r="I57" s="8">
        <v>140</v>
      </c>
      <c r="J57" s="8">
        <v>0</v>
      </c>
      <c r="K57" s="8">
        <v>0.4</v>
      </c>
      <c r="L57" s="8">
        <v>1</v>
      </c>
      <c r="M57" s="8">
        <v>0</v>
      </c>
      <c r="N57" s="8">
        <v>7</v>
      </c>
      <c r="O57" s="28">
        <f t="shared" si="0"/>
        <v>-0.7242011653055016</v>
      </c>
      <c r="P57" s="28">
        <f t="shared" si="1"/>
        <v>0.48471161879828095</v>
      </c>
      <c r="Q57" s="28">
        <f t="shared" si="2"/>
        <v>0.32646852941758775</v>
      </c>
      <c r="R57" s="5">
        <f t="shared" si="3"/>
        <v>0.67353147058241225</v>
      </c>
      <c r="S57" s="5">
        <f t="shared" si="4"/>
        <v>-0.17164210717043321</v>
      </c>
      <c r="T57" s="5">
        <f t="shared" si="5"/>
        <v>1</v>
      </c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</row>
    <row r="58" spans="1:37" ht="15" x14ac:dyDescent="0.25">
      <c r="A58" s="8">
        <v>1</v>
      </c>
      <c r="B58" s="8">
        <v>44</v>
      </c>
      <c r="C58" s="8">
        <v>1</v>
      </c>
      <c r="D58" s="8">
        <v>4</v>
      </c>
      <c r="E58" s="8">
        <v>112</v>
      </c>
      <c r="F58" s="8">
        <v>290</v>
      </c>
      <c r="G58" s="8">
        <v>0</v>
      </c>
      <c r="H58" s="8">
        <v>2</v>
      </c>
      <c r="I58" s="8">
        <v>153</v>
      </c>
      <c r="J58" s="8">
        <v>0</v>
      </c>
      <c r="K58" s="8">
        <v>0</v>
      </c>
      <c r="L58" s="8">
        <v>1</v>
      </c>
      <c r="M58" s="8">
        <v>1</v>
      </c>
      <c r="N58" s="8">
        <v>3</v>
      </c>
      <c r="O58" s="28">
        <f t="shared" si="0"/>
        <v>-4.0074470439690479E-2</v>
      </c>
      <c r="P58" s="28">
        <f t="shared" si="1"/>
        <v>0.96071789140446873</v>
      </c>
      <c r="Q58" s="28">
        <f t="shared" si="2"/>
        <v>0.48998272296903628</v>
      </c>
      <c r="R58" s="5">
        <f t="shared" si="3"/>
        <v>0.48998272296903628</v>
      </c>
      <c r="S58" s="5">
        <f t="shared" si="4"/>
        <v>-0.30981923313780269</v>
      </c>
      <c r="T58" s="5">
        <f t="shared" si="5"/>
        <v>1</v>
      </c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</row>
    <row r="59" spans="1:37" ht="15" x14ac:dyDescent="0.25">
      <c r="A59" s="8">
        <v>0</v>
      </c>
      <c r="B59" s="8">
        <v>44</v>
      </c>
      <c r="C59" s="8">
        <v>1</v>
      </c>
      <c r="D59" s="8">
        <v>2</v>
      </c>
      <c r="E59" s="8">
        <v>130</v>
      </c>
      <c r="F59" s="8">
        <v>219</v>
      </c>
      <c r="G59" s="8">
        <v>0</v>
      </c>
      <c r="H59" s="8">
        <v>2</v>
      </c>
      <c r="I59" s="8">
        <v>188</v>
      </c>
      <c r="J59" s="8">
        <v>0</v>
      </c>
      <c r="K59" s="8">
        <v>0</v>
      </c>
      <c r="L59" s="8">
        <v>1</v>
      </c>
      <c r="M59" s="8">
        <v>0</v>
      </c>
      <c r="N59" s="8">
        <v>3</v>
      </c>
      <c r="O59" s="28">
        <f t="shared" si="0"/>
        <v>-3.1046324130472778</v>
      </c>
      <c r="P59" s="28">
        <f t="shared" si="1"/>
        <v>4.4840998496170639E-2</v>
      </c>
      <c r="Q59" s="28">
        <f t="shared" si="2"/>
        <v>4.2916576360144607E-2</v>
      </c>
      <c r="R59" s="5">
        <f t="shared" si="3"/>
        <v>0.95708342363985544</v>
      </c>
      <c r="S59" s="5">
        <f t="shared" si="4"/>
        <v>-1.9050205538306678E-2</v>
      </c>
      <c r="T59" s="5">
        <f t="shared" si="5"/>
        <v>1</v>
      </c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</row>
    <row r="60" spans="1:37" ht="15" x14ac:dyDescent="0.25">
      <c r="A60" s="8">
        <v>1</v>
      </c>
      <c r="B60" s="8">
        <v>60</v>
      </c>
      <c r="C60" s="8">
        <v>1</v>
      </c>
      <c r="D60" s="8">
        <v>4</v>
      </c>
      <c r="E60" s="8">
        <v>130</v>
      </c>
      <c r="F60" s="8">
        <v>253</v>
      </c>
      <c r="G60" s="8">
        <v>0</v>
      </c>
      <c r="H60" s="8">
        <v>0</v>
      </c>
      <c r="I60" s="8">
        <v>144</v>
      </c>
      <c r="J60" s="8">
        <v>1</v>
      </c>
      <c r="K60" s="8">
        <v>1.4</v>
      </c>
      <c r="L60" s="8">
        <v>1</v>
      </c>
      <c r="M60" s="8">
        <v>1</v>
      </c>
      <c r="N60" s="8">
        <v>7</v>
      </c>
      <c r="O60" s="28">
        <f t="shared" si="0"/>
        <v>2.3252674908915063</v>
      </c>
      <c r="P60" s="28">
        <f t="shared" si="1"/>
        <v>10.229415995463443</v>
      </c>
      <c r="Q60" s="28">
        <f t="shared" si="2"/>
        <v>0.91094817393852101</v>
      </c>
      <c r="R60" s="5">
        <f t="shared" si="3"/>
        <v>0.91094817393852101</v>
      </c>
      <c r="S60" s="5">
        <f t="shared" si="4"/>
        <v>-4.0506330395572526E-2</v>
      </c>
      <c r="T60" s="5">
        <f t="shared" si="5"/>
        <v>0</v>
      </c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</row>
    <row r="61" spans="1:37" ht="15" x14ac:dyDescent="0.25">
      <c r="A61" s="8">
        <v>1</v>
      </c>
      <c r="B61" s="8">
        <v>54</v>
      </c>
      <c r="C61" s="8">
        <v>1</v>
      </c>
      <c r="D61" s="8">
        <v>4</v>
      </c>
      <c r="E61" s="8">
        <v>124</v>
      </c>
      <c r="F61" s="8">
        <v>266</v>
      </c>
      <c r="G61" s="8">
        <v>0</v>
      </c>
      <c r="H61" s="8">
        <v>2</v>
      </c>
      <c r="I61" s="8">
        <v>109</v>
      </c>
      <c r="J61" s="8">
        <v>1</v>
      </c>
      <c r="K61" s="8">
        <v>2.2000000000000002</v>
      </c>
      <c r="L61" s="8">
        <v>2</v>
      </c>
      <c r="M61" s="8">
        <v>1</v>
      </c>
      <c r="N61" s="8">
        <v>7</v>
      </c>
      <c r="O61" s="28">
        <f t="shared" si="0"/>
        <v>4.3123588755052209</v>
      </c>
      <c r="P61" s="28">
        <f t="shared" si="1"/>
        <v>74.616292053613975</v>
      </c>
      <c r="Q61" s="28">
        <f t="shared" si="2"/>
        <v>0.98677533673178564</v>
      </c>
      <c r="R61" s="5">
        <f t="shared" si="3"/>
        <v>0.98677533673178564</v>
      </c>
      <c r="S61" s="5">
        <f t="shared" si="4"/>
        <v>-5.7817137173095928E-3</v>
      </c>
      <c r="T61" s="5">
        <f t="shared" si="5"/>
        <v>1</v>
      </c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</row>
    <row r="62" spans="1:37" ht="15" x14ac:dyDescent="0.25">
      <c r="A62" s="8">
        <v>1</v>
      </c>
      <c r="B62" s="8">
        <v>50</v>
      </c>
      <c r="C62" s="8">
        <v>1</v>
      </c>
      <c r="D62" s="8">
        <v>3</v>
      </c>
      <c r="E62" s="8">
        <v>140</v>
      </c>
      <c r="F62" s="8">
        <v>233</v>
      </c>
      <c r="G62" s="8">
        <v>0</v>
      </c>
      <c r="H62" s="8">
        <v>0</v>
      </c>
      <c r="I62" s="8">
        <v>163</v>
      </c>
      <c r="J62" s="8">
        <v>0</v>
      </c>
      <c r="K62" s="8">
        <v>0.6</v>
      </c>
      <c r="L62" s="8">
        <v>2</v>
      </c>
      <c r="M62" s="8">
        <v>1</v>
      </c>
      <c r="N62" s="8">
        <v>7</v>
      </c>
      <c r="O62" s="28">
        <f t="shared" si="0"/>
        <v>1.0849021052800945</v>
      </c>
      <c r="P62" s="28">
        <f t="shared" si="1"/>
        <v>2.9591501193876084</v>
      </c>
      <c r="Q62" s="28">
        <f t="shared" si="2"/>
        <v>0.74742053980143663</v>
      </c>
      <c r="R62" s="5">
        <f t="shared" si="3"/>
        <v>0.74742053980143663</v>
      </c>
      <c r="S62" s="5">
        <f t="shared" si="4"/>
        <v>-0.12643497151199953</v>
      </c>
      <c r="T62" s="5">
        <f t="shared" si="5"/>
        <v>1</v>
      </c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</row>
    <row r="63" spans="1:37" ht="15" x14ac:dyDescent="0.25">
      <c r="A63" s="8">
        <v>1</v>
      </c>
      <c r="B63" s="8">
        <v>41</v>
      </c>
      <c r="C63" s="8">
        <v>1</v>
      </c>
      <c r="D63" s="8">
        <v>4</v>
      </c>
      <c r="E63" s="8">
        <v>110</v>
      </c>
      <c r="F63" s="8">
        <v>172</v>
      </c>
      <c r="G63" s="8">
        <v>0</v>
      </c>
      <c r="H63" s="8">
        <v>2</v>
      </c>
      <c r="I63" s="8">
        <v>158</v>
      </c>
      <c r="J63" s="8">
        <v>0</v>
      </c>
      <c r="K63" s="8">
        <v>0</v>
      </c>
      <c r="L63" s="8">
        <v>1</v>
      </c>
      <c r="M63" s="8">
        <v>0</v>
      </c>
      <c r="N63" s="8">
        <v>7</v>
      </c>
      <c r="O63" s="28">
        <f t="shared" si="0"/>
        <v>-0.63036756933625426</v>
      </c>
      <c r="P63" s="28">
        <f t="shared" si="1"/>
        <v>0.53239607256619681</v>
      </c>
      <c r="Q63" s="28">
        <f t="shared" si="2"/>
        <v>0.3474271972484439</v>
      </c>
      <c r="R63" s="5">
        <f t="shared" si="3"/>
        <v>0.3474271972484439</v>
      </c>
      <c r="S63" s="5">
        <f t="shared" si="4"/>
        <v>-0.4591361871767945</v>
      </c>
      <c r="T63" s="5">
        <f t="shared" si="5"/>
        <v>0</v>
      </c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</row>
    <row r="64" spans="1:37" ht="15" x14ac:dyDescent="0.25">
      <c r="A64" s="8">
        <v>0</v>
      </c>
      <c r="B64" s="8">
        <v>54</v>
      </c>
      <c r="C64" s="8">
        <v>1</v>
      </c>
      <c r="D64" s="8">
        <v>3</v>
      </c>
      <c r="E64" s="8">
        <v>125</v>
      </c>
      <c r="F64" s="8">
        <v>273</v>
      </c>
      <c r="G64" s="8">
        <v>0</v>
      </c>
      <c r="H64" s="8">
        <v>2</v>
      </c>
      <c r="I64" s="8">
        <v>152</v>
      </c>
      <c r="J64" s="8">
        <v>0</v>
      </c>
      <c r="K64" s="8">
        <v>0.5</v>
      </c>
      <c r="L64" s="8">
        <v>3</v>
      </c>
      <c r="M64" s="8">
        <v>1</v>
      </c>
      <c r="N64" s="8">
        <v>3</v>
      </c>
      <c r="O64" s="28">
        <f t="shared" si="0"/>
        <v>0.75460323054827061</v>
      </c>
      <c r="P64" s="28">
        <f t="shared" si="1"/>
        <v>2.1267675195462199</v>
      </c>
      <c r="Q64" s="28">
        <f t="shared" si="2"/>
        <v>0.68018089168806273</v>
      </c>
      <c r="R64" s="5">
        <f t="shared" si="3"/>
        <v>0.31981910831193727</v>
      </c>
      <c r="S64" s="5">
        <f t="shared" si="4"/>
        <v>-0.49509559191399416</v>
      </c>
      <c r="T64" s="5">
        <f t="shared" si="5"/>
        <v>1</v>
      </c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</row>
    <row r="65" spans="1:37" ht="15" x14ac:dyDescent="0.25">
      <c r="A65" s="8">
        <v>0</v>
      </c>
      <c r="B65" s="8">
        <v>51</v>
      </c>
      <c r="C65" s="8">
        <v>1</v>
      </c>
      <c r="D65" s="8">
        <v>1</v>
      </c>
      <c r="E65" s="8">
        <v>125</v>
      </c>
      <c r="F65" s="8">
        <v>213</v>
      </c>
      <c r="G65" s="8">
        <v>0</v>
      </c>
      <c r="H65" s="8">
        <v>2</v>
      </c>
      <c r="I65" s="8">
        <v>125</v>
      </c>
      <c r="J65" s="8">
        <v>1</v>
      </c>
      <c r="K65" s="8">
        <v>1.4</v>
      </c>
      <c r="L65" s="8">
        <v>1</v>
      </c>
      <c r="M65" s="8">
        <v>1</v>
      </c>
      <c r="N65" s="8">
        <v>3</v>
      </c>
      <c r="O65" s="28">
        <f t="shared" si="0"/>
        <v>-8.7911568276409113E-2</v>
      </c>
      <c r="P65" s="28">
        <f t="shared" si="1"/>
        <v>0.91584186261685963</v>
      </c>
      <c r="Q65" s="28">
        <f t="shared" si="2"/>
        <v>0.47803625157553759</v>
      </c>
      <c r="R65" s="5">
        <f t="shared" si="3"/>
        <v>0.52196374842446236</v>
      </c>
      <c r="S65" s="5">
        <f t="shared" si="4"/>
        <v>-0.2823596586949163</v>
      </c>
      <c r="T65" s="5">
        <f t="shared" si="5"/>
        <v>1</v>
      </c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</row>
    <row r="66" spans="1:37" ht="15" x14ac:dyDescent="0.25">
      <c r="A66" s="8">
        <v>1</v>
      </c>
      <c r="B66" s="8">
        <v>51</v>
      </c>
      <c r="C66" s="8">
        <v>0</v>
      </c>
      <c r="D66" s="8">
        <v>4</v>
      </c>
      <c r="E66" s="8">
        <v>130</v>
      </c>
      <c r="F66" s="8">
        <v>305</v>
      </c>
      <c r="G66" s="8">
        <v>0</v>
      </c>
      <c r="H66" s="8">
        <v>0</v>
      </c>
      <c r="I66" s="8">
        <v>142</v>
      </c>
      <c r="J66" s="8">
        <v>1</v>
      </c>
      <c r="K66" s="8">
        <v>1.2</v>
      </c>
      <c r="L66" s="8">
        <v>2</v>
      </c>
      <c r="M66" s="8">
        <v>0</v>
      </c>
      <c r="N66" s="8">
        <v>7</v>
      </c>
      <c r="O66" s="28">
        <f t="shared" si="0"/>
        <v>0.69451358253161732</v>
      </c>
      <c r="P66" s="28">
        <f t="shared" si="1"/>
        <v>2.0027346718483652</v>
      </c>
      <c r="Q66" s="28">
        <f t="shared" si="2"/>
        <v>0.6669702423676217</v>
      </c>
      <c r="R66" s="5">
        <f t="shared" si="3"/>
        <v>0.6669702423676217</v>
      </c>
      <c r="S66" s="5">
        <f t="shared" si="4"/>
        <v>-0.17589354219114531</v>
      </c>
      <c r="T66" s="5">
        <f t="shared" si="5"/>
        <v>1</v>
      </c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</row>
    <row r="67" spans="1:37" ht="15" x14ac:dyDescent="0.25">
      <c r="A67" s="8">
        <v>0</v>
      </c>
      <c r="B67" s="8">
        <v>46</v>
      </c>
      <c r="C67" s="8">
        <v>0</v>
      </c>
      <c r="D67" s="8">
        <v>3</v>
      </c>
      <c r="E67" s="8">
        <v>142</v>
      </c>
      <c r="F67" s="8">
        <v>177</v>
      </c>
      <c r="G67" s="8">
        <v>0</v>
      </c>
      <c r="H67" s="8">
        <v>2</v>
      </c>
      <c r="I67" s="8">
        <v>160</v>
      </c>
      <c r="J67" s="8">
        <v>1</v>
      </c>
      <c r="K67" s="8">
        <v>1.4</v>
      </c>
      <c r="L67" s="8">
        <v>3</v>
      </c>
      <c r="M67" s="8">
        <v>0</v>
      </c>
      <c r="N67" s="8">
        <v>3</v>
      </c>
      <c r="O67" s="28">
        <f t="shared" si="0"/>
        <v>-0.79922215439253019</v>
      </c>
      <c r="P67" s="28">
        <f t="shared" si="1"/>
        <v>0.44967860864537013</v>
      </c>
      <c r="Q67" s="28">
        <f t="shared" si="2"/>
        <v>0.31019193217285962</v>
      </c>
      <c r="R67" s="5">
        <f t="shared" si="3"/>
        <v>0.68980806782714033</v>
      </c>
      <c r="S67" s="5">
        <f t="shared" si="4"/>
        <v>-0.16127173053644767</v>
      </c>
      <c r="T67" s="5">
        <f t="shared" si="5"/>
        <v>1</v>
      </c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</row>
    <row r="68" spans="1:37" ht="15" x14ac:dyDescent="0.25">
      <c r="A68" s="8">
        <v>1</v>
      </c>
      <c r="B68" s="8">
        <v>58</v>
      </c>
      <c r="C68" s="8">
        <v>1</v>
      </c>
      <c r="D68" s="8">
        <v>4</v>
      </c>
      <c r="E68" s="8">
        <v>128</v>
      </c>
      <c r="F68" s="8">
        <v>216</v>
      </c>
      <c r="G68" s="8">
        <v>0</v>
      </c>
      <c r="H68" s="8">
        <v>2</v>
      </c>
      <c r="I68" s="8">
        <v>131</v>
      </c>
      <c r="J68" s="8">
        <v>1</v>
      </c>
      <c r="K68" s="8">
        <v>2.2000000000000002</v>
      </c>
      <c r="L68" s="8">
        <v>2</v>
      </c>
      <c r="M68" s="8">
        <v>3</v>
      </c>
      <c r="N68" s="8">
        <v>7</v>
      </c>
      <c r="O68" s="28">
        <f t="shared" si="0"/>
        <v>6.1830463967108047</v>
      </c>
      <c r="P68" s="28">
        <f t="shared" si="1"/>
        <v>484.46558494894663</v>
      </c>
      <c r="Q68" s="28">
        <f t="shared" si="2"/>
        <v>0.99794012174909341</v>
      </c>
      <c r="R68" s="5">
        <f t="shared" si="3"/>
        <v>0.99794012174909341</v>
      </c>
      <c r="S68" s="5">
        <f t="shared" si="4"/>
        <v>-8.9551640211484821E-4</v>
      </c>
      <c r="T68" s="5">
        <f t="shared" si="5"/>
        <v>1</v>
      </c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</row>
    <row r="69" spans="1:37" ht="15" x14ac:dyDescent="0.25">
      <c r="A69" s="8">
        <v>0</v>
      </c>
      <c r="B69" s="8">
        <v>54</v>
      </c>
      <c r="C69" s="8">
        <v>0</v>
      </c>
      <c r="D69" s="8">
        <v>3</v>
      </c>
      <c r="E69" s="8">
        <v>135</v>
      </c>
      <c r="F69" s="8">
        <v>304</v>
      </c>
      <c r="G69" s="8">
        <v>1</v>
      </c>
      <c r="H69" s="8">
        <v>0</v>
      </c>
      <c r="I69" s="8">
        <v>170</v>
      </c>
      <c r="J69" s="8">
        <v>0</v>
      </c>
      <c r="K69" s="8">
        <v>0</v>
      </c>
      <c r="L69" s="8">
        <v>1</v>
      </c>
      <c r="M69" s="8">
        <v>0</v>
      </c>
      <c r="N69" s="8">
        <v>3</v>
      </c>
      <c r="O69" s="28">
        <f t="shared" si="0"/>
        <v>-4.5780267580524043</v>
      </c>
      <c r="P69" s="28">
        <f t="shared" si="1"/>
        <v>1.027515166574422E-2</v>
      </c>
      <c r="Q69" s="28">
        <f t="shared" si="2"/>
        <v>1.0170646728074549E-2</v>
      </c>
      <c r="R69" s="5">
        <f t="shared" si="3"/>
        <v>0.98982935327192545</v>
      </c>
      <c r="S69" s="5">
        <f t="shared" si="4"/>
        <v>-4.4396713826101138E-3</v>
      </c>
      <c r="T69" s="5">
        <f t="shared" si="5"/>
        <v>1</v>
      </c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</row>
    <row r="70" spans="1:37" ht="15" x14ac:dyDescent="0.25">
      <c r="A70" s="8">
        <v>1</v>
      </c>
      <c r="B70" s="8">
        <v>54</v>
      </c>
      <c r="C70" s="8">
        <v>1</v>
      </c>
      <c r="D70" s="8">
        <v>4</v>
      </c>
      <c r="E70" s="8">
        <v>120</v>
      </c>
      <c r="F70" s="8">
        <v>188</v>
      </c>
      <c r="G70" s="8">
        <v>0</v>
      </c>
      <c r="H70" s="8">
        <v>0</v>
      </c>
      <c r="I70" s="8">
        <v>113</v>
      </c>
      <c r="J70" s="8">
        <v>0</v>
      </c>
      <c r="K70" s="8">
        <v>1.4</v>
      </c>
      <c r="L70" s="8">
        <v>2</v>
      </c>
      <c r="M70" s="8">
        <v>1</v>
      </c>
      <c r="N70" s="8">
        <v>7</v>
      </c>
      <c r="O70" s="28">
        <f t="shared" si="0"/>
        <v>2.1295085451674121</v>
      </c>
      <c r="P70" s="28">
        <f t="shared" si="1"/>
        <v>8.4107323005259644</v>
      </c>
      <c r="Q70" s="28">
        <f t="shared" si="2"/>
        <v>0.89373834383280559</v>
      </c>
      <c r="R70" s="5">
        <f t="shared" si="3"/>
        <v>0.89373834383280559</v>
      </c>
      <c r="S70" s="5">
        <f t="shared" si="4"/>
        <v>-4.8789609237971543E-2</v>
      </c>
      <c r="T70" s="5">
        <f t="shared" si="5"/>
        <v>1</v>
      </c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</row>
    <row r="71" spans="1:37" ht="15" x14ac:dyDescent="0.25">
      <c r="A71" s="8">
        <v>1</v>
      </c>
      <c r="B71" s="8">
        <v>60</v>
      </c>
      <c r="C71" s="8">
        <v>1</v>
      </c>
      <c r="D71" s="8">
        <v>4</v>
      </c>
      <c r="E71" s="8">
        <v>145</v>
      </c>
      <c r="F71" s="8">
        <v>282</v>
      </c>
      <c r="G71" s="8">
        <v>0</v>
      </c>
      <c r="H71" s="8">
        <v>2</v>
      </c>
      <c r="I71" s="8">
        <v>142</v>
      </c>
      <c r="J71" s="8">
        <v>1</v>
      </c>
      <c r="K71" s="8">
        <v>2.8</v>
      </c>
      <c r="L71" s="8">
        <v>2</v>
      </c>
      <c r="M71" s="8">
        <v>2</v>
      </c>
      <c r="N71" s="8">
        <v>7</v>
      </c>
      <c r="O71" s="28">
        <f t="shared" ref="O71:O134" si="6">$A$3+SUMPRODUCT($B$3:$N$3,B71:N71)</f>
        <v>5.5465655369693403</v>
      </c>
      <c r="P71" s="28">
        <f t="shared" ref="P71:P134" si="7">EXP(O71)</f>
        <v>256.35559842203537</v>
      </c>
      <c r="Q71" s="28">
        <f t="shared" ref="Q71:Q134" si="8">P71/(P71+1)</f>
        <v>0.99611432583502568</v>
      </c>
      <c r="R71" s="5">
        <f t="shared" ref="R71:R134" si="9">IF(A71=1,Q71,1-Q71)</f>
        <v>0.99611432583502568</v>
      </c>
      <c r="S71" s="5">
        <f t="shared" ref="S71:S134" si="10">LOG(R71)</f>
        <v>-1.6908139559099716E-3</v>
      </c>
      <c r="T71" s="5">
        <f t="shared" ref="T71:T134" si="11">IF(Q67&gt;Q$2,1,0)</f>
        <v>1</v>
      </c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</row>
    <row r="72" spans="1:37" ht="15" x14ac:dyDescent="0.25">
      <c r="A72" s="8">
        <v>1</v>
      </c>
      <c r="B72" s="8">
        <v>60</v>
      </c>
      <c r="C72" s="8">
        <v>1</v>
      </c>
      <c r="D72" s="8">
        <v>3</v>
      </c>
      <c r="E72" s="8">
        <v>140</v>
      </c>
      <c r="F72" s="8">
        <v>185</v>
      </c>
      <c r="G72" s="8">
        <v>0</v>
      </c>
      <c r="H72" s="8">
        <v>2</v>
      </c>
      <c r="I72" s="8">
        <v>155</v>
      </c>
      <c r="J72" s="8">
        <v>0</v>
      </c>
      <c r="K72" s="8">
        <v>3</v>
      </c>
      <c r="L72" s="8">
        <v>2</v>
      </c>
      <c r="M72" s="8">
        <v>0</v>
      </c>
      <c r="N72" s="8">
        <v>3</v>
      </c>
      <c r="O72" s="28">
        <f t="shared" si="6"/>
        <v>-0.69061803816563572</v>
      </c>
      <c r="P72" s="28">
        <f t="shared" si="7"/>
        <v>0.50126617168647147</v>
      </c>
      <c r="Q72" s="28">
        <f t="shared" si="8"/>
        <v>0.33389560168625265</v>
      </c>
      <c r="R72" s="5">
        <f t="shared" si="9"/>
        <v>0.33389560168625265</v>
      </c>
      <c r="S72" s="5">
        <f t="shared" si="10"/>
        <v>-0.47638930174817828</v>
      </c>
      <c r="T72" s="5">
        <f t="shared" si="11"/>
        <v>1</v>
      </c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</row>
    <row r="73" spans="1:37" ht="15" x14ac:dyDescent="0.25">
      <c r="A73" s="8">
        <v>0</v>
      </c>
      <c r="B73" s="8">
        <v>54</v>
      </c>
      <c r="C73" s="8">
        <v>1</v>
      </c>
      <c r="D73" s="8">
        <v>3</v>
      </c>
      <c r="E73" s="8">
        <v>150</v>
      </c>
      <c r="F73" s="8">
        <v>232</v>
      </c>
      <c r="G73" s="8">
        <v>0</v>
      </c>
      <c r="H73" s="8">
        <v>2</v>
      </c>
      <c r="I73" s="8">
        <v>165</v>
      </c>
      <c r="J73" s="8">
        <v>0</v>
      </c>
      <c r="K73" s="8">
        <v>1.6</v>
      </c>
      <c r="L73" s="8">
        <v>1</v>
      </c>
      <c r="M73" s="8">
        <v>0</v>
      </c>
      <c r="N73" s="8">
        <v>7</v>
      </c>
      <c r="O73" s="28">
        <f t="shared" si="6"/>
        <v>0.12230461811294546</v>
      </c>
      <c r="P73" s="28">
        <f t="shared" si="7"/>
        <v>1.1300982977643994</v>
      </c>
      <c r="Q73" s="28">
        <f t="shared" si="8"/>
        <v>0.53053809720916201</v>
      </c>
      <c r="R73" s="5">
        <f t="shared" si="9"/>
        <v>0.46946190279083799</v>
      </c>
      <c r="S73" s="5">
        <f t="shared" si="10"/>
        <v>-0.32839964531274429</v>
      </c>
      <c r="T73" s="5">
        <f t="shared" si="11"/>
        <v>0</v>
      </c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</row>
    <row r="74" spans="1:37" ht="15" x14ac:dyDescent="0.25">
      <c r="A74" s="8">
        <v>1</v>
      </c>
      <c r="B74" s="8">
        <v>59</v>
      </c>
      <c r="C74" s="8">
        <v>1</v>
      </c>
      <c r="D74" s="8">
        <v>4</v>
      </c>
      <c r="E74" s="8">
        <v>170</v>
      </c>
      <c r="F74" s="8">
        <v>326</v>
      </c>
      <c r="G74" s="8">
        <v>0</v>
      </c>
      <c r="H74" s="8">
        <v>2</v>
      </c>
      <c r="I74" s="8">
        <v>140</v>
      </c>
      <c r="J74" s="8">
        <v>1</v>
      </c>
      <c r="K74" s="8">
        <v>3.4</v>
      </c>
      <c r="L74" s="8">
        <v>3</v>
      </c>
      <c r="M74" s="8">
        <v>0</v>
      </c>
      <c r="N74" s="8">
        <v>7</v>
      </c>
      <c r="O74" s="28">
        <f t="shared" si="6"/>
        <v>4.6059814603889153</v>
      </c>
      <c r="P74" s="28">
        <f t="shared" si="7"/>
        <v>100.0811603572911</v>
      </c>
      <c r="Q74" s="28">
        <f t="shared" si="8"/>
        <v>0.99010695963060469</v>
      </c>
      <c r="R74" s="5">
        <f t="shared" si="9"/>
        <v>0.99010695963060469</v>
      </c>
      <c r="S74" s="5">
        <f t="shared" si="10"/>
        <v>-4.3178867477003712E-3</v>
      </c>
      <c r="T74" s="5">
        <f t="shared" si="11"/>
        <v>1</v>
      </c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</row>
    <row r="75" spans="1:37" ht="15" x14ac:dyDescent="0.25">
      <c r="A75" s="8">
        <v>1</v>
      </c>
      <c r="B75" s="8">
        <v>46</v>
      </c>
      <c r="C75" s="8">
        <v>1</v>
      </c>
      <c r="D75" s="8">
        <v>3</v>
      </c>
      <c r="E75" s="8">
        <v>150</v>
      </c>
      <c r="F75" s="8">
        <v>231</v>
      </c>
      <c r="G75" s="8">
        <v>0</v>
      </c>
      <c r="H75" s="8">
        <v>0</v>
      </c>
      <c r="I75" s="8">
        <v>147</v>
      </c>
      <c r="J75" s="8">
        <v>0</v>
      </c>
      <c r="K75" s="8">
        <v>3.6</v>
      </c>
      <c r="L75" s="8">
        <v>2</v>
      </c>
      <c r="M75" s="8">
        <v>0</v>
      </c>
      <c r="N75" s="8">
        <v>3</v>
      </c>
      <c r="O75" s="28">
        <f t="shared" si="6"/>
        <v>-0.1988373213892638</v>
      </c>
      <c r="P75" s="28">
        <f t="shared" si="7"/>
        <v>0.81968322741600963</v>
      </c>
      <c r="Q75" s="28">
        <f t="shared" si="8"/>
        <v>0.45045380155532783</v>
      </c>
      <c r="R75" s="5">
        <f t="shared" si="9"/>
        <v>0.45045380155532783</v>
      </c>
      <c r="S75" s="5">
        <f t="shared" si="10"/>
        <v>-0.34634974354934522</v>
      </c>
      <c r="T75" s="5">
        <f t="shared" si="11"/>
        <v>1</v>
      </c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</row>
    <row r="76" spans="1:37" ht="15" x14ac:dyDescent="0.25">
      <c r="A76" s="8">
        <v>0</v>
      </c>
      <c r="B76" s="8">
        <v>65</v>
      </c>
      <c r="C76" s="8">
        <v>0</v>
      </c>
      <c r="D76" s="8">
        <v>3</v>
      </c>
      <c r="E76" s="8">
        <v>155</v>
      </c>
      <c r="F76" s="8">
        <v>269</v>
      </c>
      <c r="G76" s="8">
        <v>0</v>
      </c>
      <c r="H76" s="8">
        <v>0</v>
      </c>
      <c r="I76" s="8">
        <v>148</v>
      </c>
      <c r="J76" s="8">
        <v>0</v>
      </c>
      <c r="K76" s="8">
        <v>0.8</v>
      </c>
      <c r="L76" s="8">
        <v>1</v>
      </c>
      <c r="M76" s="8">
        <v>0</v>
      </c>
      <c r="N76" s="8">
        <v>3</v>
      </c>
      <c r="O76" s="28">
        <f t="shared" si="6"/>
        <v>-2.7532386526655745</v>
      </c>
      <c r="P76" s="28">
        <f t="shared" si="7"/>
        <v>6.3721155972510199E-2</v>
      </c>
      <c r="Q76" s="28">
        <f t="shared" si="8"/>
        <v>5.9904003614794095E-2</v>
      </c>
      <c r="R76" s="5">
        <f t="shared" si="9"/>
        <v>0.94009599638520591</v>
      </c>
      <c r="S76" s="5">
        <f t="shared" si="10"/>
        <v>-2.6827796855922785E-2</v>
      </c>
      <c r="T76" s="5">
        <f t="shared" si="11"/>
        <v>1</v>
      </c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</row>
    <row r="77" spans="1:37" ht="15" x14ac:dyDescent="0.25">
      <c r="A77" s="8">
        <v>1</v>
      </c>
      <c r="B77" s="8">
        <v>67</v>
      </c>
      <c r="C77" s="8">
        <v>1</v>
      </c>
      <c r="D77" s="8">
        <v>4</v>
      </c>
      <c r="E77" s="8">
        <v>125</v>
      </c>
      <c r="F77" s="8">
        <v>254</v>
      </c>
      <c r="G77" s="8">
        <v>1</v>
      </c>
      <c r="H77" s="8">
        <v>0</v>
      </c>
      <c r="I77" s="8">
        <v>163</v>
      </c>
      <c r="J77" s="8">
        <v>0</v>
      </c>
      <c r="K77" s="8">
        <v>0.2</v>
      </c>
      <c r="L77" s="8">
        <v>2</v>
      </c>
      <c r="M77" s="8">
        <v>2</v>
      </c>
      <c r="N77" s="8">
        <v>7</v>
      </c>
      <c r="O77" s="28">
        <f t="shared" si="6"/>
        <v>1.3111548414613017</v>
      </c>
      <c r="P77" s="28">
        <f t="shared" si="7"/>
        <v>3.7104562276130673</v>
      </c>
      <c r="Q77" s="28">
        <f t="shared" si="8"/>
        <v>0.78770633847780591</v>
      </c>
      <c r="R77" s="5">
        <f t="shared" si="9"/>
        <v>0.78770633847780591</v>
      </c>
      <c r="S77" s="5">
        <f t="shared" si="10"/>
        <v>-0.10363565985649378</v>
      </c>
      <c r="T77" s="5">
        <f t="shared" si="11"/>
        <v>1</v>
      </c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</row>
    <row r="78" spans="1:37" ht="15" x14ac:dyDescent="0.25">
      <c r="A78" s="8">
        <v>1</v>
      </c>
      <c r="B78" s="8">
        <v>62</v>
      </c>
      <c r="C78" s="8">
        <v>1</v>
      </c>
      <c r="D78" s="8">
        <v>4</v>
      </c>
      <c r="E78" s="8">
        <v>120</v>
      </c>
      <c r="F78" s="8">
        <v>267</v>
      </c>
      <c r="G78" s="8">
        <v>0</v>
      </c>
      <c r="H78" s="8">
        <v>0</v>
      </c>
      <c r="I78" s="8">
        <v>99</v>
      </c>
      <c r="J78" s="8">
        <v>1</v>
      </c>
      <c r="K78" s="8">
        <v>1.8</v>
      </c>
      <c r="L78" s="8">
        <v>2</v>
      </c>
      <c r="M78" s="8">
        <v>2</v>
      </c>
      <c r="N78" s="8">
        <v>7</v>
      </c>
      <c r="O78" s="28">
        <f t="shared" si="6"/>
        <v>4.992975763154365</v>
      </c>
      <c r="P78" s="28">
        <f t="shared" si="7"/>
        <v>147.37432270980162</v>
      </c>
      <c r="Q78" s="28">
        <f t="shared" si="8"/>
        <v>0.99326028936990762</v>
      </c>
      <c r="R78" s="5">
        <f t="shared" si="9"/>
        <v>0.99326028936990762</v>
      </c>
      <c r="S78" s="5">
        <f t="shared" si="10"/>
        <v>-2.936927311182527E-3</v>
      </c>
      <c r="T78" s="5">
        <f t="shared" si="11"/>
        <v>1</v>
      </c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</row>
    <row r="79" spans="1:37" ht="15" x14ac:dyDescent="0.25">
      <c r="A79" s="8">
        <v>1</v>
      </c>
      <c r="B79" s="8">
        <v>65</v>
      </c>
      <c r="C79" s="8">
        <v>1</v>
      </c>
      <c r="D79" s="8">
        <v>4</v>
      </c>
      <c r="E79" s="8">
        <v>110</v>
      </c>
      <c r="F79" s="8">
        <v>248</v>
      </c>
      <c r="G79" s="8">
        <v>0</v>
      </c>
      <c r="H79" s="8">
        <v>2</v>
      </c>
      <c r="I79" s="8">
        <v>158</v>
      </c>
      <c r="J79" s="8">
        <v>0</v>
      </c>
      <c r="K79" s="8">
        <v>0.6</v>
      </c>
      <c r="L79" s="8">
        <v>1</v>
      </c>
      <c r="M79" s="8">
        <v>2</v>
      </c>
      <c r="N79" s="8">
        <v>6</v>
      </c>
      <c r="O79" s="28">
        <f t="shared" si="6"/>
        <v>1.7494040808658591</v>
      </c>
      <c r="P79" s="28">
        <f t="shared" si="7"/>
        <v>5.7511744197449248</v>
      </c>
      <c r="Q79" s="28">
        <f t="shared" si="8"/>
        <v>0.8518776233842611</v>
      </c>
      <c r="R79" s="5">
        <f t="shared" si="9"/>
        <v>0.8518776233842611</v>
      </c>
      <c r="S79" s="5">
        <f t="shared" si="10"/>
        <v>-6.9622789395508936E-2</v>
      </c>
      <c r="T79" s="5">
        <f t="shared" si="11"/>
        <v>1</v>
      </c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</row>
    <row r="80" spans="1:37" ht="15" x14ac:dyDescent="0.25">
      <c r="A80" s="8">
        <v>1</v>
      </c>
      <c r="B80" s="8">
        <v>44</v>
      </c>
      <c r="C80" s="8">
        <v>1</v>
      </c>
      <c r="D80" s="8">
        <v>4</v>
      </c>
      <c r="E80" s="8">
        <v>110</v>
      </c>
      <c r="F80" s="8">
        <v>197</v>
      </c>
      <c r="G80" s="8">
        <v>0</v>
      </c>
      <c r="H80" s="8">
        <v>2</v>
      </c>
      <c r="I80" s="8">
        <v>177</v>
      </c>
      <c r="J80" s="8">
        <v>0</v>
      </c>
      <c r="K80" s="8">
        <v>0</v>
      </c>
      <c r="L80" s="8">
        <v>1</v>
      </c>
      <c r="M80" s="8">
        <v>1</v>
      </c>
      <c r="N80" s="8">
        <v>3</v>
      </c>
      <c r="O80" s="28">
        <f t="shared" si="6"/>
        <v>-1.048586559233331</v>
      </c>
      <c r="P80" s="28">
        <f t="shared" si="7"/>
        <v>0.35043271511170287</v>
      </c>
      <c r="Q80" s="28">
        <f t="shared" si="8"/>
        <v>0.25949661259703438</v>
      </c>
      <c r="R80" s="5">
        <f t="shared" si="9"/>
        <v>0.25949661259703438</v>
      </c>
      <c r="S80" s="5">
        <f t="shared" si="10"/>
        <v>-0.58586830694853986</v>
      </c>
      <c r="T80" s="5">
        <f t="shared" si="11"/>
        <v>0</v>
      </c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</row>
    <row r="81" spans="1:37" ht="15" x14ac:dyDescent="0.25">
      <c r="A81" s="8">
        <v>0</v>
      </c>
      <c r="B81" s="8">
        <v>65</v>
      </c>
      <c r="C81" s="8">
        <v>0</v>
      </c>
      <c r="D81" s="8">
        <v>3</v>
      </c>
      <c r="E81" s="8">
        <v>160</v>
      </c>
      <c r="F81" s="8">
        <v>360</v>
      </c>
      <c r="G81" s="8">
        <v>0</v>
      </c>
      <c r="H81" s="8">
        <v>2</v>
      </c>
      <c r="I81" s="8">
        <v>151</v>
      </c>
      <c r="J81" s="8">
        <v>0</v>
      </c>
      <c r="K81" s="8">
        <v>0.8</v>
      </c>
      <c r="L81" s="8">
        <v>1</v>
      </c>
      <c r="M81" s="8">
        <v>0</v>
      </c>
      <c r="N81" s="8">
        <v>3</v>
      </c>
      <c r="O81" s="28">
        <f t="shared" si="6"/>
        <v>-1.7501133546875787</v>
      </c>
      <c r="P81" s="28">
        <f t="shared" si="7"/>
        <v>0.17375424647576929</v>
      </c>
      <c r="Q81" s="28">
        <f t="shared" si="8"/>
        <v>0.14803290126316593</v>
      </c>
      <c r="R81" s="5">
        <f t="shared" si="9"/>
        <v>0.85196709873683407</v>
      </c>
      <c r="S81" s="5">
        <f t="shared" si="10"/>
        <v>-6.9577176492619366E-2</v>
      </c>
      <c r="T81" s="5">
        <f t="shared" si="11"/>
        <v>1</v>
      </c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</row>
    <row r="82" spans="1:37" ht="15" x14ac:dyDescent="0.25">
      <c r="A82" s="8">
        <v>1</v>
      </c>
      <c r="B82" s="8">
        <v>60</v>
      </c>
      <c r="C82" s="8">
        <v>1</v>
      </c>
      <c r="D82" s="8">
        <v>4</v>
      </c>
      <c r="E82" s="8">
        <v>125</v>
      </c>
      <c r="F82" s="8">
        <v>258</v>
      </c>
      <c r="G82" s="8">
        <v>0</v>
      </c>
      <c r="H82" s="8">
        <v>2</v>
      </c>
      <c r="I82" s="8">
        <v>141</v>
      </c>
      <c r="J82" s="8">
        <v>1</v>
      </c>
      <c r="K82" s="8">
        <v>2.8</v>
      </c>
      <c r="L82" s="8">
        <v>2</v>
      </c>
      <c r="M82" s="8">
        <v>1</v>
      </c>
      <c r="N82" s="8">
        <v>7</v>
      </c>
      <c r="O82" s="28">
        <f t="shared" si="6"/>
        <v>3.698728175527255</v>
      </c>
      <c r="P82" s="28">
        <f t="shared" si="7"/>
        <v>40.39589518717748</v>
      </c>
      <c r="Q82" s="28">
        <f t="shared" si="8"/>
        <v>0.97584301546135532</v>
      </c>
      <c r="R82" s="5">
        <f t="shared" si="9"/>
        <v>0.97584301546135532</v>
      </c>
      <c r="S82" s="5">
        <f t="shared" si="10"/>
        <v>-1.0620041966982059E-2</v>
      </c>
      <c r="T82" s="5">
        <f t="shared" si="11"/>
        <v>1</v>
      </c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</row>
    <row r="83" spans="1:37" ht="15" x14ac:dyDescent="0.25">
      <c r="A83" s="8">
        <v>0</v>
      </c>
      <c r="B83" s="8">
        <v>51</v>
      </c>
      <c r="C83" s="8">
        <v>0</v>
      </c>
      <c r="D83" s="8">
        <v>3</v>
      </c>
      <c r="E83" s="8">
        <v>140</v>
      </c>
      <c r="F83" s="8">
        <v>308</v>
      </c>
      <c r="G83" s="8">
        <v>0</v>
      </c>
      <c r="H83" s="8">
        <v>2</v>
      </c>
      <c r="I83" s="8">
        <v>142</v>
      </c>
      <c r="J83" s="8">
        <v>0</v>
      </c>
      <c r="K83" s="8">
        <v>1.5</v>
      </c>
      <c r="L83" s="8">
        <v>1</v>
      </c>
      <c r="M83" s="8">
        <v>1</v>
      </c>
      <c r="N83" s="8">
        <v>3</v>
      </c>
      <c r="O83" s="28">
        <f t="shared" si="6"/>
        <v>-0.66571041422525035</v>
      </c>
      <c r="P83" s="28">
        <f t="shared" si="7"/>
        <v>0.51390831022008843</v>
      </c>
      <c r="Q83" s="28">
        <f t="shared" si="8"/>
        <v>0.33945801522509483</v>
      </c>
      <c r="R83" s="5">
        <f t="shared" si="9"/>
        <v>0.66054198477490522</v>
      </c>
      <c r="S83" s="5">
        <f t="shared" si="10"/>
        <v>-0.1800995729373053</v>
      </c>
      <c r="T83" s="5">
        <f t="shared" si="11"/>
        <v>1</v>
      </c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</row>
    <row r="84" spans="1:37" ht="15" x14ac:dyDescent="0.25">
      <c r="A84" s="8">
        <v>0</v>
      </c>
      <c r="B84" s="8">
        <v>48</v>
      </c>
      <c r="C84" s="8">
        <v>1</v>
      </c>
      <c r="D84" s="8">
        <v>2</v>
      </c>
      <c r="E84" s="8">
        <v>130</v>
      </c>
      <c r="F84" s="8">
        <v>245</v>
      </c>
      <c r="G84" s="8">
        <v>0</v>
      </c>
      <c r="H84" s="8">
        <v>2</v>
      </c>
      <c r="I84" s="8">
        <v>180</v>
      </c>
      <c r="J84" s="8">
        <v>0</v>
      </c>
      <c r="K84" s="8">
        <v>0.2</v>
      </c>
      <c r="L84" s="8">
        <v>2</v>
      </c>
      <c r="M84" s="8">
        <v>0</v>
      </c>
      <c r="N84" s="8">
        <v>3</v>
      </c>
      <c r="O84" s="28">
        <f t="shared" si="6"/>
        <v>-2.2465477962096498</v>
      </c>
      <c r="P84" s="28">
        <f t="shared" si="7"/>
        <v>0.1057637129464994</v>
      </c>
      <c r="Q84" s="28">
        <f t="shared" si="8"/>
        <v>9.5647661166845144E-2</v>
      </c>
      <c r="R84" s="5">
        <f t="shared" si="9"/>
        <v>0.90435233883315491</v>
      </c>
      <c r="S84" s="5">
        <f t="shared" si="10"/>
        <v>-4.3662333906499942E-2</v>
      </c>
      <c r="T84" s="5">
        <f t="shared" si="11"/>
        <v>1</v>
      </c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</row>
    <row r="85" spans="1:37" ht="15" x14ac:dyDescent="0.25">
      <c r="A85" s="8">
        <v>1</v>
      </c>
      <c r="B85" s="8">
        <v>58</v>
      </c>
      <c r="C85" s="8">
        <v>1</v>
      </c>
      <c r="D85" s="8">
        <v>4</v>
      </c>
      <c r="E85" s="8">
        <v>150</v>
      </c>
      <c r="F85" s="8">
        <v>270</v>
      </c>
      <c r="G85" s="8">
        <v>0</v>
      </c>
      <c r="H85" s="8">
        <v>2</v>
      </c>
      <c r="I85" s="8">
        <v>111</v>
      </c>
      <c r="J85" s="8">
        <v>1</v>
      </c>
      <c r="K85" s="8">
        <v>0.8</v>
      </c>
      <c r="L85" s="8">
        <v>1</v>
      </c>
      <c r="M85" s="8">
        <v>0</v>
      </c>
      <c r="N85" s="8">
        <v>7</v>
      </c>
      <c r="O85" s="28">
        <f t="shared" si="6"/>
        <v>2.6754458219490127</v>
      </c>
      <c r="P85" s="28">
        <f t="shared" si="7"/>
        <v>14.518821206112587</v>
      </c>
      <c r="Q85" s="28">
        <f t="shared" si="8"/>
        <v>0.93556211604486317</v>
      </c>
      <c r="R85" s="5">
        <f t="shared" si="9"/>
        <v>0.93556211604486317</v>
      </c>
      <c r="S85" s="5">
        <f t="shared" si="10"/>
        <v>-2.8927372503946624E-2</v>
      </c>
      <c r="T85" s="5">
        <f t="shared" si="11"/>
        <v>1</v>
      </c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</row>
    <row r="86" spans="1:37" ht="15" x14ac:dyDescent="0.25">
      <c r="A86" s="8">
        <v>0</v>
      </c>
      <c r="B86" s="8">
        <v>45</v>
      </c>
      <c r="C86" s="8">
        <v>1</v>
      </c>
      <c r="D86" s="8">
        <v>4</v>
      </c>
      <c r="E86" s="8">
        <v>104</v>
      </c>
      <c r="F86" s="8">
        <v>208</v>
      </c>
      <c r="G86" s="8">
        <v>0</v>
      </c>
      <c r="H86" s="8">
        <v>2</v>
      </c>
      <c r="I86" s="8">
        <v>148</v>
      </c>
      <c r="J86" s="8">
        <v>1</v>
      </c>
      <c r="K86" s="8">
        <v>3</v>
      </c>
      <c r="L86" s="8">
        <v>2</v>
      </c>
      <c r="M86" s="8">
        <v>0</v>
      </c>
      <c r="N86" s="8">
        <v>3</v>
      </c>
      <c r="O86" s="28">
        <f t="shared" si="6"/>
        <v>0.417740904990759</v>
      </c>
      <c r="P86" s="28">
        <f t="shared" si="7"/>
        <v>1.5185271806144089</v>
      </c>
      <c r="Q86" s="28">
        <f t="shared" si="8"/>
        <v>0.60294254209476339</v>
      </c>
      <c r="R86" s="5">
        <f t="shared" si="9"/>
        <v>0.39705745790523661</v>
      </c>
      <c r="S86" s="5">
        <f t="shared" si="10"/>
        <v>-0.40114664224044605</v>
      </c>
      <c r="T86" s="5">
        <f t="shared" si="11"/>
        <v>1</v>
      </c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</row>
    <row r="87" spans="1:37" ht="15" x14ac:dyDescent="0.25">
      <c r="A87" s="8">
        <v>0</v>
      </c>
      <c r="B87" s="8">
        <v>53</v>
      </c>
      <c r="C87" s="8">
        <v>0</v>
      </c>
      <c r="D87" s="8">
        <v>4</v>
      </c>
      <c r="E87" s="8">
        <v>130</v>
      </c>
      <c r="F87" s="8">
        <v>264</v>
      </c>
      <c r="G87" s="8">
        <v>0</v>
      </c>
      <c r="H87" s="8">
        <v>2</v>
      </c>
      <c r="I87" s="8">
        <v>143</v>
      </c>
      <c r="J87" s="8">
        <v>0</v>
      </c>
      <c r="K87" s="8">
        <v>0.4</v>
      </c>
      <c r="L87" s="8">
        <v>2</v>
      </c>
      <c r="M87" s="8">
        <v>0</v>
      </c>
      <c r="N87" s="8">
        <v>3</v>
      </c>
      <c r="O87" s="28">
        <f t="shared" si="6"/>
        <v>-1.5687469588654421</v>
      </c>
      <c r="P87" s="28">
        <f t="shared" si="7"/>
        <v>0.20830603492372782</v>
      </c>
      <c r="Q87" s="28">
        <f t="shared" si="8"/>
        <v>0.17239509602952266</v>
      </c>
      <c r="R87" s="5">
        <f t="shared" si="9"/>
        <v>0.82760490397047737</v>
      </c>
      <c r="S87" s="5">
        <f t="shared" si="10"/>
        <v>-8.2176944587975614E-2</v>
      </c>
      <c r="T87" s="5">
        <f t="shared" si="11"/>
        <v>1</v>
      </c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</row>
    <row r="88" spans="1:37" ht="15" x14ac:dyDescent="0.25">
      <c r="A88" s="8">
        <v>0</v>
      </c>
      <c r="B88" s="8">
        <v>39</v>
      </c>
      <c r="C88" s="8">
        <v>1</v>
      </c>
      <c r="D88" s="8">
        <v>3</v>
      </c>
      <c r="E88" s="8">
        <v>140</v>
      </c>
      <c r="F88" s="8">
        <v>321</v>
      </c>
      <c r="G88" s="8">
        <v>0</v>
      </c>
      <c r="H88" s="8">
        <v>2</v>
      </c>
      <c r="I88" s="8">
        <v>182</v>
      </c>
      <c r="J88" s="8">
        <v>0</v>
      </c>
      <c r="K88" s="8">
        <v>0</v>
      </c>
      <c r="L88" s="8">
        <v>1</v>
      </c>
      <c r="M88" s="8">
        <v>0</v>
      </c>
      <c r="N88" s="8">
        <v>3</v>
      </c>
      <c r="O88" s="28">
        <f t="shared" si="6"/>
        <v>-1.584030527313959</v>
      </c>
      <c r="P88" s="28">
        <f t="shared" si="7"/>
        <v>0.2051465807483083</v>
      </c>
      <c r="Q88" s="28">
        <f t="shared" si="8"/>
        <v>0.17022541823993492</v>
      </c>
      <c r="R88" s="5">
        <f t="shared" si="9"/>
        <v>0.82977458176006502</v>
      </c>
      <c r="S88" s="5">
        <f t="shared" si="10"/>
        <v>-8.1039872918011027E-2</v>
      </c>
      <c r="T88" s="5">
        <f t="shared" si="11"/>
        <v>0</v>
      </c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</row>
    <row r="89" spans="1:37" ht="15" x14ac:dyDescent="0.25">
      <c r="A89" s="8">
        <v>1</v>
      </c>
      <c r="B89" s="8">
        <v>68</v>
      </c>
      <c r="C89" s="8">
        <v>1</v>
      </c>
      <c r="D89" s="8">
        <v>3</v>
      </c>
      <c r="E89" s="8">
        <v>180</v>
      </c>
      <c r="F89" s="8">
        <v>274</v>
      </c>
      <c r="G89" s="8">
        <v>1</v>
      </c>
      <c r="H89" s="8">
        <v>2</v>
      </c>
      <c r="I89" s="8">
        <v>150</v>
      </c>
      <c r="J89" s="8">
        <v>1</v>
      </c>
      <c r="K89" s="8">
        <v>1.6</v>
      </c>
      <c r="L89" s="8">
        <v>2</v>
      </c>
      <c r="M89" s="8">
        <v>0</v>
      </c>
      <c r="N89" s="8">
        <v>7</v>
      </c>
      <c r="O89" s="28">
        <f t="shared" si="6"/>
        <v>1.6394325026002976</v>
      </c>
      <c r="P89" s="28">
        <f t="shared" si="7"/>
        <v>5.1522447969041281</v>
      </c>
      <c r="Q89" s="28">
        <f t="shared" si="8"/>
        <v>0.83745770316174506</v>
      </c>
      <c r="R89" s="5">
        <f t="shared" si="9"/>
        <v>0.83745770316174506</v>
      </c>
      <c r="S89" s="5">
        <f t="shared" si="10"/>
        <v>-7.7037118317779804E-2</v>
      </c>
      <c r="T89" s="5">
        <f t="shared" si="11"/>
        <v>1</v>
      </c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</row>
    <row r="90" spans="1:37" ht="15" x14ac:dyDescent="0.25">
      <c r="A90" s="8">
        <v>0</v>
      </c>
      <c r="B90" s="8">
        <v>52</v>
      </c>
      <c r="C90" s="8">
        <v>1</v>
      </c>
      <c r="D90" s="8">
        <v>2</v>
      </c>
      <c r="E90" s="8">
        <v>120</v>
      </c>
      <c r="F90" s="8">
        <v>325</v>
      </c>
      <c r="G90" s="8">
        <v>0</v>
      </c>
      <c r="H90" s="8">
        <v>0</v>
      </c>
      <c r="I90" s="8">
        <v>172</v>
      </c>
      <c r="J90" s="8">
        <v>0</v>
      </c>
      <c r="K90" s="8">
        <v>0.2</v>
      </c>
      <c r="L90" s="8">
        <v>1</v>
      </c>
      <c r="M90" s="8">
        <v>0</v>
      </c>
      <c r="N90" s="8">
        <v>3</v>
      </c>
      <c r="O90" s="28">
        <f t="shared" si="6"/>
        <v>-3.0391509059150685</v>
      </c>
      <c r="P90" s="28">
        <f t="shared" si="7"/>
        <v>4.7875523064342007E-2</v>
      </c>
      <c r="Q90" s="28">
        <f t="shared" si="8"/>
        <v>4.5688177660966646E-2</v>
      </c>
      <c r="R90" s="5">
        <f t="shared" si="9"/>
        <v>0.95431182233903333</v>
      </c>
      <c r="S90" s="5">
        <f t="shared" si="10"/>
        <v>-2.030969595207718E-2</v>
      </c>
      <c r="T90" s="5">
        <f t="shared" si="11"/>
        <v>1</v>
      </c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</row>
    <row r="91" spans="1:37" ht="15" x14ac:dyDescent="0.25">
      <c r="A91" s="8">
        <v>0</v>
      </c>
      <c r="B91" s="8">
        <v>44</v>
      </c>
      <c r="C91" s="8">
        <v>1</v>
      </c>
      <c r="D91" s="8">
        <v>3</v>
      </c>
      <c r="E91" s="8">
        <v>140</v>
      </c>
      <c r="F91" s="8">
        <v>235</v>
      </c>
      <c r="G91" s="8">
        <v>0</v>
      </c>
      <c r="H91" s="8">
        <v>2</v>
      </c>
      <c r="I91" s="8">
        <v>180</v>
      </c>
      <c r="J91" s="8">
        <v>0</v>
      </c>
      <c r="K91" s="8">
        <v>0</v>
      </c>
      <c r="L91" s="8">
        <v>1</v>
      </c>
      <c r="M91" s="8">
        <v>0</v>
      </c>
      <c r="N91" s="8">
        <v>3</v>
      </c>
      <c r="O91" s="28">
        <f t="shared" si="6"/>
        <v>-2.0430588349367937</v>
      </c>
      <c r="P91" s="28">
        <f t="shared" si="7"/>
        <v>0.12963158219998627</v>
      </c>
      <c r="Q91" s="28">
        <f t="shared" si="8"/>
        <v>0.11475562850989476</v>
      </c>
      <c r="R91" s="5">
        <f t="shared" si="9"/>
        <v>0.88524437149010526</v>
      </c>
      <c r="S91" s="5">
        <f t="shared" si="10"/>
        <v>-5.2936825867292307E-2</v>
      </c>
      <c r="T91" s="5">
        <f t="shared" si="11"/>
        <v>1</v>
      </c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</row>
    <row r="92" spans="1:37" ht="15" x14ac:dyDescent="0.25">
      <c r="A92" s="8">
        <v>0</v>
      </c>
      <c r="B92" s="8">
        <v>47</v>
      </c>
      <c r="C92" s="8">
        <v>1</v>
      </c>
      <c r="D92" s="8">
        <v>3</v>
      </c>
      <c r="E92" s="8">
        <v>138</v>
      </c>
      <c r="F92" s="8">
        <v>257</v>
      </c>
      <c r="G92" s="8">
        <v>0</v>
      </c>
      <c r="H92" s="8">
        <v>2</v>
      </c>
      <c r="I92" s="8">
        <v>156</v>
      </c>
      <c r="J92" s="8">
        <v>0</v>
      </c>
      <c r="K92" s="8">
        <v>0</v>
      </c>
      <c r="L92" s="8">
        <v>1</v>
      </c>
      <c r="M92" s="8">
        <v>0</v>
      </c>
      <c r="N92" s="8">
        <v>3</v>
      </c>
      <c r="O92" s="28">
        <f t="shared" si="6"/>
        <v>-1.5278394567090121</v>
      </c>
      <c r="P92" s="28">
        <f t="shared" si="7"/>
        <v>0.21700400775199732</v>
      </c>
      <c r="Q92" s="28">
        <f t="shared" si="8"/>
        <v>0.17831001900547455</v>
      </c>
      <c r="R92" s="5">
        <f t="shared" si="9"/>
        <v>0.8216899809945255</v>
      </c>
      <c r="S92" s="5">
        <f t="shared" si="10"/>
        <v>-8.5292008420460488E-2</v>
      </c>
      <c r="T92" s="5">
        <f t="shared" si="11"/>
        <v>1</v>
      </c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</row>
    <row r="93" spans="1:37" ht="15" x14ac:dyDescent="0.25">
      <c r="A93" s="8">
        <v>0</v>
      </c>
      <c r="B93" s="8">
        <v>53</v>
      </c>
      <c r="C93" s="8">
        <v>0</v>
      </c>
      <c r="D93" s="8">
        <v>4</v>
      </c>
      <c r="E93" s="8">
        <v>138</v>
      </c>
      <c r="F93" s="8">
        <v>234</v>
      </c>
      <c r="G93" s="8">
        <v>0</v>
      </c>
      <c r="H93" s="8">
        <v>2</v>
      </c>
      <c r="I93" s="8">
        <v>160</v>
      </c>
      <c r="J93" s="8">
        <v>0</v>
      </c>
      <c r="K93" s="8">
        <v>0</v>
      </c>
      <c r="L93" s="8">
        <v>1</v>
      </c>
      <c r="M93" s="8">
        <v>0</v>
      </c>
      <c r="N93" s="8">
        <v>3</v>
      </c>
      <c r="O93" s="28">
        <f t="shared" si="6"/>
        <v>-2.5465128960354217</v>
      </c>
      <c r="P93" s="28">
        <f t="shared" si="7"/>
        <v>7.8354420172915065E-2</v>
      </c>
      <c r="Q93" s="28">
        <f t="shared" si="8"/>
        <v>7.2661101681533294E-2</v>
      </c>
      <c r="R93" s="5">
        <f t="shared" si="9"/>
        <v>0.92733889831846672</v>
      </c>
      <c r="S93" s="5">
        <f t="shared" si="10"/>
        <v>-3.2761522843199692E-2</v>
      </c>
      <c r="T93" s="5">
        <f t="shared" si="11"/>
        <v>1</v>
      </c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</row>
    <row r="94" spans="1:37" ht="15" x14ac:dyDescent="0.25">
      <c r="A94" s="8">
        <v>0</v>
      </c>
      <c r="B94" s="8">
        <v>51</v>
      </c>
      <c r="C94" s="8">
        <v>0</v>
      </c>
      <c r="D94" s="8">
        <v>3</v>
      </c>
      <c r="E94" s="8">
        <v>130</v>
      </c>
      <c r="F94" s="8">
        <v>256</v>
      </c>
      <c r="G94" s="8">
        <v>0</v>
      </c>
      <c r="H94" s="8">
        <v>2</v>
      </c>
      <c r="I94" s="8">
        <v>149</v>
      </c>
      <c r="J94" s="8">
        <v>0</v>
      </c>
      <c r="K94" s="8">
        <v>0.5</v>
      </c>
      <c r="L94" s="8">
        <v>1</v>
      </c>
      <c r="M94" s="8">
        <v>0</v>
      </c>
      <c r="N94" s="8">
        <v>3</v>
      </c>
      <c r="O94" s="28">
        <f t="shared" si="6"/>
        <v>-2.8256147612796791</v>
      </c>
      <c r="P94" s="28">
        <f t="shared" si="7"/>
        <v>5.9272207368676735E-2</v>
      </c>
      <c r="Q94" s="28">
        <f t="shared" si="8"/>
        <v>5.5955595697081487E-2</v>
      </c>
      <c r="R94" s="5">
        <f t="shared" si="9"/>
        <v>0.94404440430291847</v>
      </c>
      <c r="S94" s="5">
        <f t="shared" si="10"/>
        <v>-2.5007577640292374E-2</v>
      </c>
      <c r="T94" s="5">
        <f t="shared" si="11"/>
        <v>0</v>
      </c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</row>
    <row r="95" spans="1:37" ht="15" x14ac:dyDescent="0.25">
      <c r="A95" s="8">
        <v>0</v>
      </c>
      <c r="B95" s="8">
        <v>66</v>
      </c>
      <c r="C95" s="8">
        <v>1</v>
      </c>
      <c r="D95" s="8">
        <v>4</v>
      </c>
      <c r="E95" s="8">
        <v>120</v>
      </c>
      <c r="F95" s="8">
        <v>302</v>
      </c>
      <c r="G95" s="8">
        <v>0</v>
      </c>
      <c r="H95" s="8">
        <v>2</v>
      </c>
      <c r="I95" s="8">
        <v>151</v>
      </c>
      <c r="J95" s="8">
        <v>0</v>
      </c>
      <c r="K95" s="8">
        <v>0.4</v>
      </c>
      <c r="L95" s="8">
        <v>2</v>
      </c>
      <c r="M95" s="8">
        <v>0</v>
      </c>
      <c r="N95" s="8">
        <v>3</v>
      </c>
      <c r="O95" s="28">
        <f t="shared" si="6"/>
        <v>-0.65661681893877866</v>
      </c>
      <c r="P95" s="28">
        <f t="shared" si="7"/>
        <v>0.51860289739455256</v>
      </c>
      <c r="Q95" s="28">
        <f t="shared" si="8"/>
        <v>0.341500005224745</v>
      </c>
      <c r="R95" s="5">
        <f t="shared" si="9"/>
        <v>0.658499994775255</v>
      </c>
      <c r="S95" s="5">
        <f t="shared" si="10"/>
        <v>-0.18144422414802569</v>
      </c>
      <c r="T95" s="5">
        <f t="shared" si="11"/>
        <v>1</v>
      </c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</row>
    <row r="96" spans="1:37" ht="15" x14ac:dyDescent="0.25">
      <c r="A96" s="8">
        <v>1</v>
      </c>
      <c r="B96" s="8">
        <v>62</v>
      </c>
      <c r="C96" s="8">
        <v>0</v>
      </c>
      <c r="D96" s="8">
        <v>4</v>
      </c>
      <c r="E96" s="8">
        <v>160</v>
      </c>
      <c r="F96" s="8">
        <v>164</v>
      </c>
      <c r="G96" s="8">
        <v>0</v>
      </c>
      <c r="H96" s="8">
        <v>2</v>
      </c>
      <c r="I96" s="8">
        <v>145</v>
      </c>
      <c r="J96" s="8">
        <v>0</v>
      </c>
      <c r="K96" s="8">
        <v>6.2</v>
      </c>
      <c r="L96" s="8">
        <v>3</v>
      </c>
      <c r="M96" s="8">
        <v>3</v>
      </c>
      <c r="N96" s="8">
        <v>7</v>
      </c>
      <c r="O96" s="28">
        <f t="shared" si="6"/>
        <v>5.6680579104918829</v>
      </c>
      <c r="P96" s="28">
        <f t="shared" si="7"/>
        <v>289.47180797490603</v>
      </c>
      <c r="Q96" s="28">
        <f t="shared" si="8"/>
        <v>0.99655732510851314</v>
      </c>
      <c r="R96" s="5">
        <f t="shared" si="9"/>
        <v>0.99655732510851314</v>
      </c>
      <c r="S96" s="5">
        <f t="shared" si="10"/>
        <v>-1.497714261797071E-3</v>
      </c>
      <c r="T96" s="5">
        <f t="shared" si="11"/>
        <v>1</v>
      </c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</row>
    <row r="97" spans="1:37" ht="15" x14ac:dyDescent="0.25">
      <c r="A97" s="8">
        <v>0</v>
      </c>
      <c r="B97" s="8">
        <v>62</v>
      </c>
      <c r="C97" s="8">
        <v>1</v>
      </c>
      <c r="D97" s="8">
        <v>3</v>
      </c>
      <c r="E97" s="8">
        <v>130</v>
      </c>
      <c r="F97" s="8">
        <v>231</v>
      </c>
      <c r="G97" s="8">
        <v>0</v>
      </c>
      <c r="H97" s="8">
        <v>0</v>
      </c>
      <c r="I97" s="8">
        <v>146</v>
      </c>
      <c r="J97" s="8">
        <v>0</v>
      </c>
      <c r="K97" s="8">
        <v>1.8</v>
      </c>
      <c r="L97" s="8">
        <v>2</v>
      </c>
      <c r="M97" s="8">
        <v>3</v>
      </c>
      <c r="N97" s="8">
        <v>7</v>
      </c>
      <c r="O97" s="28">
        <f t="shared" si="6"/>
        <v>3.8481175409887749</v>
      </c>
      <c r="P97" s="28">
        <f t="shared" si="7"/>
        <v>46.904683927541356</v>
      </c>
      <c r="Q97" s="28">
        <f t="shared" si="8"/>
        <v>0.97912521452990775</v>
      </c>
      <c r="R97" s="5">
        <f t="shared" si="9"/>
        <v>2.087478547009225E-2</v>
      </c>
      <c r="S97" s="5">
        <f t="shared" si="10"/>
        <v>-1.6803779790603548</v>
      </c>
      <c r="T97" s="5">
        <f t="shared" si="11"/>
        <v>0</v>
      </c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</row>
    <row r="98" spans="1:37" ht="15" x14ac:dyDescent="0.25">
      <c r="A98" s="8">
        <v>0</v>
      </c>
      <c r="B98" s="8">
        <v>44</v>
      </c>
      <c r="C98" s="8">
        <v>0</v>
      </c>
      <c r="D98" s="8">
        <v>3</v>
      </c>
      <c r="E98" s="8">
        <v>108</v>
      </c>
      <c r="F98" s="8">
        <v>141</v>
      </c>
      <c r="G98" s="8">
        <v>0</v>
      </c>
      <c r="H98" s="8">
        <v>0</v>
      </c>
      <c r="I98" s="8">
        <v>175</v>
      </c>
      <c r="J98" s="8">
        <v>0</v>
      </c>
      <c r="K98" s="8">
        <v>0.6</v>
      </c>
      <c r="L98" s="8">
        <v>2</v>
      </c>
      <c r="M98" s="8">
        <v>0</v>
      </c>
      <c r="N98" s="8">
        <v>3</v>
      </c>
      <c r="O98" s="28">
        <f t="shared" si="6"/>
        <v>-4.2626699118612592</v>
      </c>
      <c r="P98" s="28">
        <f t="shared" si="7"/>
        <v>1.4084647397601532E-2</v>
      </c>
      <c r="Q98" s="28">
        <f t="shared" si="8"/>
        <v>1.3889025372533063E-2</v>
      </c>
      <c r="R98" s="5">
        <f t="shared" si="9"/>
        <v>0.98611097462746689</v>
      </c>
      <c r="S98" s="5">
        <f t="shared" si="10"/>
        <v>-6.0742078211372796E-3</v>
      </c>
      <c r="T98" s="5">
        <f t="shared" si="11"/>
        <v>0</v>
      </c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</row>
    <row r="99" spans="1:37" ht="15" x14ac:dyDescent="0.25">
      <c r="A99" s="8">
        <v>0</v>
      </c>
      <c r="B99" s="8">
        <v>63</v>
      </c>
      <c r="C99" s="8">
        <v>0</v>
      </c>
      <c r="D99" s="8">
        <v>3</v>
      </c>
      <c r="E99" s="8">
        <v>135</v>
      </c>
      <c r="F99" s="8">
        <v>252</v>
      </c>
      <c r="G99" s="8">
        <v>0</v>
      </c>
      <c r="H99" s="8">
        <v>2</v>
      </c>
      <c r="I99" s="8">
        <v>172</v>
      </c>
      <c r="J99" s="8">
        <v>0</v>
      </c>
      <c r="K99" s="8">
        <v>0</v>
      </c>
      <c r="L99" s="8">
        <v>1</v>
      </c>
      <c r="M99" s="8">
        <v>0</v>
      </c>
      <c r="N99" s="8">
        <v>3</v>
      </c>
      <c r="O99" s="28">
        <f t="shared" si="6"/>
        <v>-3.4941642911067596</v>
      </c>
      <c r="P99" s="28">
        <f t="shared" si="7"/>
        <v>3.0374121756467181E-2</v>
      </c>
      <c r="Q99" s="28">
        <f t="shared" si="8"/>
        <v>2.9478731186191629E-2</v>
      </c>
      <c r="R99" s="5">
        <f t="shared" si="9"/>
        <v>0.9705212688138084</v>
      </c>
      <c r="S99" s="5">
        <f t="shared" si="10"/>
        <v>-1.2994942679265984E-2</v>
      </c>
      <c r="T99" s="5">
        <f t="shared" si="11"/>
        <v>1</v>
      </c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</row>
    <row r="100" spans="1:37" ht="15" x14ac:dyDescent="0.25">
      <c r="A100" s="8">
        <v>1</v>
      </c>
      <c r="B100" s="8">
        <v>52</v>
      </c>
      <c r="C100" s="8">
        <v>1</v>
      </c>
      <c r="D100" s="8">
        <v>4</v>
      </c>
      <c r="E100" s="8">
        <v>128</v>
      </c>
      <c r="F100" s="8">
        <v>255</v>
      </c>
      <c r="G100" s="8">
        <v>0</v>
      </c>
      <c r="H100" s="8">
        <v>0</v>
      </c>
      <c r="I100" s="8">
        <v>161</v>
      </c>
      <c r="J100" s="8">
        <v>1</v>
      </c>
      <c r="K100" s="8">
        <v>0</v>
      </c>
      <c r="L100" s="8">
        <v>1</v>
      </c>
      <c r="M100" s="8">
        <v>1</v>
      </c>
      <c r="N100" s="8">
        <v>7</v>
      </c>
      <c r="O100" s="28">
        <f t="shared" si="6"/>
        <v>1.702867427475657</v>
      </c>
      <c r="P100" s="28">
        <f t="shared" si="7"/>
        <v>5.4896660641850898</v>
      </c>
      <c r="Q100" s="28">
        <f t="shared" si="8"/>
        <v>0.8459088664794695</v>
      </c>
      <c r="R100" s="5">
        <f t="shared" si="9"/>
        <v>0.8459088664794695</v>
      </c>
      <c r="S100" s="5">
        <f t="shared" si="10"/>
        <v>-7.2676422914883604E-2</v>
      </c>
      <c r="T100" s="5">
        <f t="shared" si="11"/>
        <v>1</v>
      </c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</row>
    <row r="101" spans="1:37" ht="15" x14ac:dyDescent="0.25">
      <c r="A101" s="8">
        <v>1</v>
      </c>
      <c r="B101" s="8">
        <v>59</v>
      </c>
      <c r="C101" s="8">
        <v>1</v>
      </c>
      <c r="D101" s="8">
        <v>4</v>
      </c>
      <c r="E101" s="8">
        <v>110</v>
      </c>
      <c r="F101" s="8">
        <v>239</v>
      </c>
      <c r="G101" s="8">
        <v>0</v>
      </c>
      <c r="H101" s="8">
        <v>2</v>
      </c>
      <c r="I101" s="8">
        <v>142</v>
      </c>
      <c r="J101" s="8">
        <v>1</v>
      </c>
      <c r="K101" s="8">
        <v>1.2</v>
      </c>
      <c r="L101" s="8">
        <v>2</v>
      </c>
      <c r="M101" s="8">
        <v>1</v>
      </c>
      <c r="N101" s="8">
        <v>7</v>
      </c>
      <c r="O101" s="28">
        <f t="shared" si="6"/>
        <v>2.8408750714362165</v>
      </c>
      <c r="P101" s="28">
        <f t="shared" si="7"/>
        <v>17.130749609787227</v>
      </c>
      <c r="Q101" s="28">
        <f t="shared" si="8"/>
        <v>0.94484508244158938</v>
      </c>
      <c r="R101" s="5">
        <f t="shared" si="9"/>
        <v>0.94484508244158938</v>
      </c>
      <c r="S101" s="5">
        <f t="shared" si="10"/>
        <v>-2.4639392925757786E-2</v>
      </c>
      <c r="T101" s="5">
        <f t="shared" si="11"/>
        <v>1</v>
      </c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</row>
    <row r="102" spans="1:37" ht="15" x14ac:dyDescent="0.25">
      <c r="A102" s="8">
        <v>1</v>
      </c>
      <c r="B102" s="8">
        <v>60</v>
      </c>
      <c r="C102" s="8">
        <v>0</v>
      </c>
      <c r="D102" s="8">
        <v>4</v>
      </c>
      <c r="E102" s="8">
        <v>150</v>
      </c>
      <c r="F102" s="8">
        <v>258</v>
      </c>
      <c r="G102" s="8">
        <v>0</v>
      </c>
      <c r="H102" s="8">
        <v>2</v>
      </c>
      <c r="I102" s="8">
        <v>157</v>
      </c>
      <c r="J102" s="8">
        <v>0</v>
      </c>
      <c r="K102" s="8">
        <v>2.6</v>
      </c>
      <c r="L102" s="8">
        <v>2</v>
      </c>
      <c r="M102" s="8">
        <v>2</v>
      </c>
      <c r="N102" s="8">
        <v>7</v>
      </c>
      <c r="O102" s="28">
        <f t="shared" si="6"/>
        <v>2.9492154914632041</v>
      </c>
      <c r="P102" s="28">
        <f t="shared" si="7"/>
        <v>19.090970822305465</v>
      </c>
      <c r="Q102" s="28">
        <f t="shared" si="8"/>
        <v>0.95022639727843428</v>
      </c>
      <c r="R102" s="5">
        <f t="shared" si="9"/>
        <v>0.95022639727843428</v>
      </c>
      <c r="S102" s="5">
        <f t="shared" si="10"/>
        <v>-2.2172909053497999E-2</v>
      </c>
      <c r="T102" s="5">
        <f t="shared" si="11"/>
        <v>0</v>
      </c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</row>
    <row r="103" spans="1:37" ht="15" x14ac:dyDescent="0.25">
      <c r="A103" s="8">
        <v>0</v>
      </c>
      <c r="B103" s="8">
        <v>52</v>
      </c>
      <c r="C103" s="8">
        <v>1</v>
      </c>
      <c r="D103" s="8">
        <v>2</v>
      </c>
      <c r="E103" s="8">
        <v>134</v>
      </c>
      <c r="F103" s="8">
        <v>201</v>
      </c>
      <c r="G103" s="8">
        <v>0</v>
      </c>
      <c r="H103" s="8">
        <v>0</v>
      </c>
      <c r="I103" s="8">
        <v>158</v>
      </c>
      <c r="J103" s="8">
        <v>0</v>
      </c>
      <c r="K103" s="8">
        <v>0.8</v>
      </c>
      <c r="L103" s="8">
        <v>1</v>
      </c>
      <c r="M103" s="8">
        <v>1</v>
      </c>
      <c r="N103" s="8">
        <v>3</v>
      </c>
      <c r="O103" s="28">
        <f t="shared" si="6"/>
        <v>-1.6164899233098957</v>
      </c>
      <c r="P103" s="28">
        <f t="shared" si="7"/>
        <v>0.19859455924107589</v>
      </c>
      <c r="Q103" s="28">
        <f t="shared" si="8"/>
        <v>0.16568952170684112</v>
      </c>
      <c r="R103" s="5">
        <f t="shared" si="9"/>
        <v>0.83431047829315885</v>
      </c>
      <c r="S103" s="5">
        <f t="shared" si="10"/>
        <v>-7.8672301979737763E-2</v>
      </c>
      <c r="T103" s="5">
        <f t="shared" si="11"/>
        <v>0</v>
      </c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</row>
    <row r="104" spans="1:37" ht="15" x14ac:dyDescent="0.25">
      <c r="A104" s="8">
        <v>0</v>
      </c>
      <c r="B104" s="8">
        <v>48</v>
      </c>
      <c r="C104" s="8">
        <v>1</v>
      </c>
      <c r="D104" s="8">
        <v>4</v>
      </c>
      <c r="E104" s="8">
        <v>122</v>
      </c>
      <c r="F104" s="8">
        <v>222</v>
      </c>
      <c r="G104" s="8">
        <v>0</v>
      </c>
      <c r="H104" s="8">
        <v>2</v>
      </c>
      <c r="I104" s="8">
        <v>186</v>
      </c>
      <c r="J104" s="8">
        <v>0</v>
      </c>
      <c r="K104" s="8">
        <v>0</v>
      </c>
      <c r="L104" s="8">
        <v>1</v>
      </c>
      <c r="M104" s="8">
        <v>0</v>
      </c>
      <c r="N104" s="8">
        <v>3</v>
      </c>
      <c r="O104" s="28">
        <f t="shared" si="6"/>
        <v>-2.1454894284103991</v>
      </c>
      <c r="P104" s="28">
        <f t="shared" si="7"/>
        <v>0.11701075463980883</v>
      </c>
      <c r="Q104" s="28">
        <f t="shared" si="8"/>
        <v>0.10475347184776219</v>
      </c>
      <c r="R104" s="5">
        <f t="shared" si="9"/>
        <v>0.89524652815223782</v>
      </c>
      <c r="S104" s="5">
        <f t="shared" si="10"/>
        <v>-4.8057354546440716E-2</v>
      </c>
      <c r="T104" s="5">
        <f t="shared" si="11"/>
        <v>1</v>
      </c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</row>
    <row r="105" spans="1:37" ht="15" x14ac:dyDescent="0.25">
      <c r="A105" s="8">
        <v>0</v>
      </c>
      <c r="B105" s="8">
        <v>45</v>
      </c>
      <c r="C105" s="8">
        <v>1</v>
      </c>
      <c r="D105" s="8">
        <v>4</v>
      </c>
      <c r="E105" s="8">
        <v>115</v>
      </c>
      <c r="F105" s="8">
        <v>260</v>
      </c>
      <c r="G105" s="8">
        <v>0</v>
      </c>
      <c r="H105" s="8">
        <v>2</v>
      </c>
      <c r="I105" s="8">
        <v>185</v>
      </c>
      <c r="J105" s="8">
        <v>0</v>
      </c>
      <c r="K105" s="8">
        <v>0</v>
      </c>
      <c r="L105" s="8">
        <v>1</v>
      </c>
      <c r="M105" s="8">
        <v>0</v>
      </c>
      <c r="N105" s="8">
        <v>3</v>
      </c>
      <c r="O105" s="28">
        <f t="shared" si="6"/>
        <v>-2.0608603050379601</v>
      </c>
      <c r="P105" s="28">
        <f t="shared" si="7"/>
        <v>0.12734436775480876</v>
      </c>
      <c r="Q105" s="28">
        <f t="shared" si="8"/>
        <v>0.11295959903398875</v>
      </c>
      <c r="R105" s="5">
        <f t="shared" si="9"/>
        <v>0.88704040096601122</v>
      </c>
      <c r="S105" s="5">
        <f t="shared" si="10"/>
        <v>-5.2056599427546715E-2</v>
      </c>
      <c r="T105" s="5">
        <f t="shared" si="11"/>
        <v>1</v>
      </c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</row>
    <row r="106" spans="1:37" ht="15" x14ac:dyDescent="0.25">
      <c r="A106" s="8">
        <v>0</v>
      </c>
      <c r="B106" s="8">
        <v>34</v>
      </c>
      <c r="C106" s="8">
        <v>1</v>
      </c>
      <c r="D106" s="8">
        <v>1</v>
      </c>
      <c r="E106" s="8">
        <v>118</v>
      </c>
      <c r="F106" s="8">
        <v>182</v>
      </c>
      <c r="G106" s="8">
        <v>0</v>
      </c>
      <c r="H106" s="8">
        <v>2</v>
      </c>
      <c r="I106" s="8">
        <v>174</v>
      </c>
      <c r="J106" s="8">
        <v>0</v>
      </c>
      <c r="K106" s="8">
        <v>0</v>
      </c>
      <c r="L106" s="8">
        <v>1</v>
      </c>
      <c r="M106" s="8">
        <v>0</v>
      </c>
      <c r="N106" s="8">
        <v>3</v>
      </c>
      <c r="O106" s="28">
        <f t="shared" si="6"/>
        <v>-3.7230518613756516</v>
      </c>
      <c r="P106" s="28">
        <f t="shared" si="7"/>
        <v>2.4160121876390696E-2</v>
      </c>
      <c r="Q106" s="28">
        <f t="shared" si="8"/>
        <v>2.3590180246548069E-2</v>
      </c>
      <c r="R106" s="5">
        <f t="shared" si="9"/>
        <v>0.97640981975345198</v>
      </c>
      <c r="S106" s="5">
        <f t="shared" si="10"/>
        <v>-1.0367861533328204E-2</v>
      </c>
      <c r="T106" s="5">
        <f t="shared" si="11"/>
        <v>1</v>
      </c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</row>
    <row r="107" spans="1:37" ht="15" x14ac:dyDescent="0.25">
      <c r="A107" s="8">
        <v>0</v>
      </c>
      <c r="B107" s="8">
        <v>57</v>
      </c>
      <c r="C107" s="8">
        <v>0</v>
      </c>
      <c r="D107" s="8">
        <v>4</v>
      </c>
      <c r="E107" s="8">
        <v>128</v>
      </c>
      <c r="F107" s="8">
        <v>303</v>
      </c>
      <c r="G107" s="8">
        <v>0</v>
      </c>
      <c r="H107" s="8">
        <v>2</v>
      </c>
      <c r="I107" s="8">
        <v>159</v>
      </c>
      <c r="J107" s="8">
        <v>0</v>
      </c>
      <c r="K107" s="8">
        <v>0</v>
      </c>
      <c r="L107" s="8">
        <v>1</v>
      </c>
      <c r="M107" s="8">
        <v>1</v>
      </c>
      <c r="N107" s="8">
        <v>3</v>
      </c>
      <c r="O107" s="28">
        <f t="shared" si="6"/>
        <v>-1.2105477859007427</v>
      </c>
      <c r="P107" s="28">
        <f t="shared" si="7"/>
        <v>0.298033975896346</v>
      </c>
      <c r="Q107" s="28">
        <f t="shared" si="8"/>
        <v>0.22960414090127437</v>
      </c>
      <c r="R107" s="5">
        <f t="shared" si="9"/>
        <v>0.77039585909872565</v>
      </c>
      <c r="S107" s="5">
        <f t="shared" si="10"/>
        <v>-0.11328606022335405</v>
      </c>
      <c r="T107" s="5">
        <f t="shared" si="11"/>
        <v>1</v>
      </c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</row>
    <row r="108" spans="1:37" ht="15" x14ac:dyDescent="0.25">
      <c r="A108" s="8">
        <v>0</v>
      </c>
      <c r="B108" s="8">
        <v>71</v>
      </c>
      <c r="C108" s="8">
        <v>0</v>
      </c>
      <c r="D108" s="8">
        <v>3</v>
      </c>
      <c r="E108" s="8">
        <v>110</v>
      </c>
      <c r="F108" s="8">
        <v>265</v>
      </c>
      <c r="G108" s="8">
        <v>1</v>
      </c>
      <c r="H108" s="8">
        <v>2</v>
      </c>
      <c r="I108" s="8">
        <v>130</v>
      </c>
      <c r="J108" s="8">
        <v>0</v>
      </c>
      <c r="K108" s="8">
        <v>0</v>
      </c>
      <c r="L108" s="8">
        <v>1</v>
      </c>
      <c r="M108" s="8">
        <v>1</v>
      </c>
      <c r="N108" s="8">
        <v>3</v>
      </c>
      <c r="O108" s="28">
        <f t="shared" si="6"/>
        <v>-3.0300620352556695</v>
      </c>
      <c r="P108" s="28">
        <f t="shared" si="7"/>
        <v>4.8312640946070164E-2</v>
      </c>
      <c r="Q108" s="28">
        <f t="shared" si="8"/>
        <v>4.6086099755955894E-2</v>
      </c>
      <c r="R108" s="5">
        <f t="shared" si="9"/>
        <v>0.9539139002440441</v>
      </c>
      <c r="S108" s="5">
        <f t="shared" si="10"/>
        <v>-2.0490822713488E-2</v>
      </c>
      <c r="T108" s="5">
        <f t="shared" si="11"/>
        <v>1</v>
      </c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</row>
    <row r="109" spans="1:37" ht="15" x14ac:dyDescent="0.25">
      <c r="A109" s="8">
        <v>1</v>
      </c>
      <c r="B109" s="8">
        <v>49</v>
      </c>
      <c r="C109" s="8">
        <v>1</v>
      </c>
      <c r="D109" s="8">
        <v>3</v>
      </c>
      <c r="E109" s="8">
        <v>120</v>
      </c>
      <c r="F109" s="8">
        <v>188</v>
      </c>
      <c r="G109" s="8">
        <v>0</v>
      </c>
      <c r="H109" s="8">
        <v>0</v>
      </c>
      <c r="I109" s="8">
        <v>139</v>
      </c>
      <c r="J109" s="8">
        <v>0</v>
      </c>
      <c r="K109" s="8">
        <v>2</v>
      </c>
      <c r="L109" s="8">
        <v>2</v>
      </c>
      <c r="M109" s="8">
        <v>3</v>
      </c>
      <c r="N109" s="8">
        <v>7</v>
      </c>
      <c r="O109" s="28">
        <f t="shared" si="6"/>
        <v>3.771035865821605</v>
      </c>
      <c r="P109" s="28">
        <f t="shared" si="7"/>
        <v>43.425024044187559</v>
      </c>
      <c r="Q109" s="28">
        <f t="shared" si="8"/>
        <v>0.97749016412449552</v>
      </c>
      <c r="R109" s="5">
        <f t="shared" si="9"/>
        <v>0.97749016412449552</v>
      </c>
      <c r="S109" s="5">
        <f t="shared" si="10"/>
        <v>-9.8876039453413851E-3</v>
      </c>
      <c r="T109" s="5">
        <f t="shared" si="11"/>
        <v>1</v>
      </c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</row>
    <row r="110" spans="1:37" ht="15" x14ac:dyDescent="0.25">
      <c r="A110" s="8">
        <v>0</v>
      </c>
      <c r="B110" s="8">
        <v>54</v>
      </c>
      <c r="C110" s="8">
        <v>1</v>
      </c>
      <c r="D110" s="8">
        <v>2</v>
      </c>
      <c r="E110" s="8">
        <v>108</v>
      </c>
      <c r="F110" s="8">
        <v>309</v>
      </c>
      <c r="G110" s="8">
        <v>0</v>
      </c>
      <c r="H110" s="8">
        <v>0</v>
      </c>
      <c r="I110" s="8">
        <v>156</v>
      </c>
      <c r="J110" s="8">
        <v>0</v>
      </c>
      <c r="K110" s="8">
        <v>0</v>
      </c>
      <c r="L110" s="8">
        <v>1</v>
      </c>
      <c r="M110" s="8">
        <v>0</v>
      </c>
      <c r="N110" s="8">
        <v>7</v>
      </c>
      <c r="O110" s="28">
        <f t="shared" si="6"/>
        <v>-1.7790313603980188</v>
      </c>
      <c r="P110" s="28">
        <f t="shared" si="7"/>
        <v>0.1688015759954348</v>
      </c>
      <c r="Q110" s="28">
        <f t="shared" si="8"/>
        <v>0.14442278267093481</v>
      </c>
      <c r="R110" s="5">
        <f t="shared" si="9"/>
        <v>0.85557721732906522</v>
      </c>
      <c r="S110" s="5">
        <f t="shared" si="10"/>
        <v>-6.7740788523142609E-2</v>
      </c>
      <c r="T110" s="5">
        <f t="shared" si="11"/>
        <v>0</v>
      </c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</row>
    <row r="111" spans="1:37" ht="15" x14ac:dyDescent="0.25">
      <c r="A111" s="8">
        <v>1</v>
      </c>
      <c r="B111" s="8">
        <v>59</v>
      </c>
      <c r="C111" s="8">
        <v>1</v>
      </c>
      <c r="D111" s="8">
        <v>4</v>
      </c>
      <c r="E111" s="8">
        <v>140</v>
      </c>
      <c r="F111" s="8">
        <v>177</v>
      </c>
      <c r="G111" s="8">
        <v>0</v>
      </c>
      <c r="H111" s="8">
        <v>0</v>
      </c>
      <c r="I111" s="8">
        <v>162</v>
      </c>
      <c r="J111" s="8">
        <v>1</v>
      </c>
      <c r="K111" s="8">
        <v>0</v>
      </c>
      <c r="L111" s="8">
        <v>1</v>
      </c>
      <c r="M111" s="8">
        <v>1</v>
      </c>
      <c r="N111" s="8">
        <v>7</v>
      </c>
      <c r="O111" s="28">
        <f t="shared" si="6"/>
        <v>1.4820348280296942</v>
      </c>
      <c r="P111" s="28">
        <f t="shared" si="7"/>
        <v>4.4018936706459195</v>
      </c>
      <c r="Q111" s="28">
        <f t="shared" si="8"/>
        <v>0.81487973274371628</v>
      </c>
      <c r="R111" s="5">
        <f t="shared" si="9"/>
        <v>0.81487973274371628</v>
      </c>
      <c r="S111" s="5">
        <f t="shared" si="10"/>
        <v>-8.8906483603529665E-2</v>
      </c>
      <c r="T111" s="5">
        <f t="shared" si="11"/>
        <v>1</v>
      </c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</row>
    <row r="112" spans="1:37" ht="15" x14ac:dyDescent="0.25">
      <c r="A112" s="8">
        <v>1</v>
      </c>
      <c r="B112" s="8">
        <v>57</v>
      </c>
      <c r="C112" s="8">
        <v>1</v>
      </c>
      <c r="D112" s="8">
        <v>3</v>
      </c>
      <c r="E112" s="8">
        <v>128</v>
      </c>
      <c r="F112" s="8">
        <v>229</v>
      </c>
      <c r="G112" s="8">
        <v>0</v>
      </c>
      <c r="H112" s="8">
        <v>2</v>
      </c>
      <c r="I112" s="8">
        <v>150</v>
      </c>
      <c r="J112" s="8">
        <v>0</v>
      </c>
      <c r="K112" s="8">
        <v>0.4</v>
      </c>
      <c r="L112" s="8">
        <v>2</v>
      </c>
      <c r="M112" s="8">
        <v>1</v>
      </c>
      <c r="N112" s="8">
        <v>7</v>
      </c>
      <c r="O112" s="28">
        <f t="shared" si="6"/>
        <v>1.3867681001135539</v>
      </c>
      <c r="P112" s="28">
        <f t="shared" si="7"/>
        <v>4.0018954049028101</v>
      </c>
      <c r="Q112" s="28">
        <f t="shared" si="8"/>
        <v>0.8000757874665253</v>
      </c>
      <c r="R112" s="5">
        <f t="shared" si="9"/>
        <v>0.8000757874665253</v>
      </c>
      <c r="S112" s="5">
        <f t="shared" si="10"/>
        <v>-9.6868872358604932E-2</v>
      </c>
      <c r="T112" s="5">
        <f t="shared" si="11"/>
        <v>0</v>
      </c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</row>
    <row r="113" spans="1:37" ht="15" x14ac:dyDescent="0.25">
      <c r="A113" s="8">
        <v>1</v>
      </c>
      <c r="B113" s="8">
        <v>61</v>
      </c>
      <c r="C113" s="8">
        <v>1</v>
      </c>
      <c r="D113" s="8">
        <v>4</v>
      </c>
      <c r="E113" s="8">
        <v>120</v>
      </c>
      <c r="F113" s="8">
        <v>260</v>
      </c>
      <c r="G113" s="8">
        <v>0</v>
      </c>
      <c r="H113" s="8">
        <v>0</v>
      </c>
      <c r="I113" s="8">
        <v>140</v>
      </c>
      <c r="J113" s="8">
        <v>1</v>
      </c>
      <c r="K113" s="8">
        <v>3.6</v>
      </c>
      <c r="L113" s="8">
        <v>2</v>
      </c>
      <c r="M113" s="8">
        <v>1</v>
      </c>
      <c r="N113" s="8">
        <v>7</v>
      </c>
      <c r="O113" s="28">
        <f t="shared" si="6"/>
        <v>3.302539771273616</v>
      </c>
      <c r="P113" s="28">
        <f t="shared" si="7"/>
        <v>27.181586340416793</v>
      </c>
      <c r="Q113" s="28">
        <f t="shared" si="8"/>
        <v>0.96451583711716593</v>
      </c>
      <c r="R113" s="5">
        <f t="shared" si="9"/>
        <v>0.96451583711716593</v>
      </c>
      <c r="S113" s="5">
        <f t="shared" si="10"/>
        <v>-1.5690636951017592E-2</v>
      </c>
      <c r="T113" s="5">
        <f t="shared" si="11"/>
        <v>1</v>
      </c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</row>
    <row r="114" spans="1:37" ht="15" x14ac:dyDescent="0.25">
      <c r="A114" s="8">
        <v>1</v>
      </c>
      <c r="B114" s="8">
        <v>39</v>
      </c>
      <c r="C114" s="8">
        <v>1</v>
      </c>
      <c r="D114" s="8">
        <v>4</v>
      </c>
      <c r="E114" s="8">
        <v>118</v>
      </c>
      <c r="F114" s="8">
        <v>219</v>
      </c>
      <c r="G114" s="8">
        <v>0</v>
      </c>
      <c r="H114" s="8">
        <v>0</v>
      </c>
      <c r="I114" s="8">
        <v>140</v>
      </c>
      <c r="J114" s="8">
        <v>0</v>
      </c>
      <c r="K114" s="8">
        <v>1.2</v>
      </c>
      <c r="L114" s="8">
        <v>2</v>
      </c>
      <c r="M114" s="8">
        <v>0</v>
      </c>
      <c r="N114" s="8">
        <v>7</v>
      </c>
      <c r="O114" s="28">
        <f t="shared" si="6"/>
        <v>0.57354480003128661</v>
      </c>
      <c r="P114" s="28">
        <f t="shared" si="7"/>
        <v>1.774546327346465</v>
      </c>
      <c r="Q114" s="28">
        <f t="shared" si="8"/>
        <v>0.63958071626204016</v>
      </c>
      <c r="R114" s="5">
        <f t="shared" si="9"/>
        <v>0.63958071626204016</v>
      </c>
      <c r="S114" s="5">
        <f t="shared" si="10"/>
        <v>-0.19410463896463667</v>
      </c>
      <c r="T114" s="5">
        <f t="shared" si="11"/>
        <v>1</v>
      </c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</row>
    <row r="115" spans="1:37" ht="15" x14ac:dyDescent="0.25">
      <c r="A115" s="8">
        <v>1</v>
      </c>
      <c r="B115" s="8">
        <v>61</v>
      </c>
      <c r="C115" s="8">
        <v>0</v>
      </c>
      <c r="D115" s="8">
        <v>4</v>
      </c>
      <c r="E115" s="8">
        <v>145</v>
      </c>
      <c r="F115" s="8">
        <v>307</v>
      </c>
      <c r="G115" s="8">
        <v>0</v>
      </c>
      <c r="H115" s="8">
        <v>2</v>
      </c>
      <c r="I115" s="8">
        <v>146</v>
      </c>
      <c r="J115" s="8">
        <v>1</v>
      </c>
      <c r="K115" s="8">
        <v>1</v>
      </c>
      <c r="L115" s="8">
        <v>2</v>
      </c>
      <c r="M115" s="8">
        <v>0</v>
      </c>
      <c r="N115" s="8">
        <v>7</v>
      </c>
      <c r="O115" s="28">
        <f t="shared" si="6"/>
        <v>1.2818292647173122</v>
      </c>
      <c r="P115" s="28">
        <f t="shared" si="7"/>
        <v>3.6032249529459008</v>
      </c>
      <c r="Q115" s="28">
        <f t="shared" si="8"/>
        <v>0.78276099686155132</v>
      </c>
      <c r="R115" s="5">
        <f t="shared" si="9"/>
        <v>0.78276099686155132</v>
      </c>
      <c r="S115" s="5">
        <f t="shared" si="10"/>
        <v>-0.10637082234695625</v>
      </c>
      <c r="T115" s="5">
        <f t="shared" si="11"/>
        <v>1</v>
      </c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</row>
    <row r="116" spans="1:37" ht="15" x14ac:dyDescent="0.25">
      <c r="A116" s="8">
        <v>1</v>
      </c>
      <c r="B116" s="8">
        <v>56</v>
      </c>
      <c r="C116" s="8">
        <v>1</v>
      </c>
      <c r="D116" s="8">
        <v>4</v>
      </c>
      <c r="E116" s="8">
        <v>125</v>
      </c>
      <c r="F116" s="8">
        <v>249</v>
      </c>
      <c r="G116" s="8">
        <v>1</v>
      </c>
      <c r="H116" s="8">
        <v>2</v>
      </c>
      <c r="I116" s="8">
        <v>144</v>
      </c>
      <c r="J116" s="8">
        <v>1</v>
      </c>
      <c r="K116" s="8">
        <v>1.2</v>
      </c>
      <c r="L116" s="8">
        <v>2</v>
      </c>
      <c r="M116" s="8">
        <v>1</v>
      </c>
      <c r="N116" s="8">
        <v>3</v>
      </c>
      <c r="O116" s="28">
        <f t="shared" si="6"/>
        <v>0.85488244285803727</v>
      </c>
      <c r="P116" s="28">
        <f t="shared" si="7"/>
        <v>2.3510979759700232</v>
      </c>
      <c r="Q116" s="28">
        <f t="shared" si="8"/>
        <v>0.70159034227862715</v>
      </c>
      <c r="R116" s="5">
        <f t="shared" si="9"/>
        <v>0.70159034227862715</v>
      </c>
      <c r="S116" s="5">
        <f t="shared" si="10"/>
        <v>-0.15391639786888031</v>
      </c>
      <c r="T116" s="5">
        <f t="shared" si="11"/>
        <v>1</v>
      </c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</row>
    <row r="117" spans="1:37" ht="15" x14ac:dyDescent="0.25">
      <c r="A117" s="8">
        <v>0</v>
      </c>
      <c r="B117" s="8">
        <v>52</v>
      </c>
      <c r="C117" s="8">
        <v>1</v>
      </c>
      <c r="D117" s="8">
        <v>1</v>
      </c>
      <c r="E117" s="8">
        <v>118</v>
      </c>
      <c r="F117" s="8">
        <v>186</v>
      </c>
      <c r="G117" s="8">
        <v>0</v>
      </c>
      <c r="H117" s="8">
        <v>2</v>
      </c>
      <c r="I117" s="8">
        <v>190</v>
      </c>
      <c r="J117" s="8">
        <v>0</v>
      </c>
      <c r="K117" s="8">
        <v>0</v>
      </c>
      <c r="L117" s="8">
        <v>2</v>
      </c>
      <c r="M117" s="8">
        <v>0</v>
      </c>
      <c r="N117" s="8">
        <v>6</v>
      </c>
      <c r="O117" s="28">
        <f t="shared" si="6"/>
        <v>-2.6865930184343627</v>
      </c>
      <c r="P117" s="28">
        <f t="shared" si="7"/>
        <v>6.8112602893446478E-2</v>
      </c>
      <c r="Q117" s="28">
        <f t="shared" si="8"/>
        <v>6.3769122009172008E-2</v>
      </c>
      <c r="R117" s="5">
        <f t="shared" si="9"/>
        <v>0.93623087799082794</v>
      </c>
      <c r="S117" s="5">
        <f t="shared" si="10"/>
        <v>-2.8617039431728448E-2</v>
      </c>
      <c r="T117" s="5">
        <f t="shared" si="11"/>
        <v>1</v>
      </c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</row>
    <row r="118" spans="1:37" ht="15" x14ac:dyDescent="0.25">
      <c r="A118" s="8">
        <v>1</v>
      </c>
      <c r="B118" s="8">
        <v>43</v>
      </c>
      <c r="C118" s="8">
        <v>0</v>
      </c>
      <c r="D118" s="8">
        <v>4</v>
      </c>
      <c r="E118" s="8">
        <v>132</v>
      </c>
      <c r="F118" s="8">
        <v>341</v>
      </c>
      <c r="G118" s="8">
        <v>1</v>
      </c>
      <c r="H118" s="8">
        <v>2</v>
      </c>
      <c r="I118" s="8">
        <v>136</v>
      </c>
      <c r="J118" s="8">
        <v>1</v>
      </c>
      <c r="K118" s="8">
        <v>3</v>
      </c>
      <c r="L118" s="8">
        <v>2</v>
      </c>
      <c r="M118" s="8">
        <v>0</v>
      </c>
      <c r="N118" s="8">
        <v>7</v>
      </c>
      <c r="O118" s="28">
        <f t="shared" si="6"/>
        <v>1.0732497106656718</v>
      </c>
      <c r="P118" s="28">
        <f t="shared" si="7"/>
        <v>2.9248690506282418</v>
      </c>
      <c r="Q118" s="28">
        <f t="shared" si="8"/>
        <v>0.74521442955149475</v>
      </c>
      <c r="R118" s="5">
        <f t="shared" si="9"/>
        <v>0.74521442955149475</v>
      </c>
      <c r="S118" s="5">
        <f t="shared" si="10"/>
        <v>-0.12771874447101847</v>
      </c>
      <c r="T118" s="5">
        <f t="shared" si="11"/>
        <v>1</v>
      </c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</row>
    <row r="119" spans="1:37" ht="15" x14ac:dyDescent="0.25">
      <c r="A119" s="8">
        <v>1</v>
      </c>
      <c r="B119" s="8">
        <v>62</v>
      </c>
      <c r="C119" s="8">
        <v>0</v>
      </c>
      <c r="D119" s="8">
        <v>3</v>
      </c>
      <c r="E119" s="8">
        <v>130</v>
      </c>
      <c r="F119" s="8">
        <v>263</v>
      </c>
      <c r="G119" s="8">
        <v>0</v>
      </c>
      <c r="H119" s="8">
        <v>0</v>
      </c>
      <c r="I119" s="8">
        <v>97</v>
      </c>
      <c r="J119" s="8">
        <v>0</v>
      </c>
      <c r="K119" s="8">
        <v>1.2</v>
      </c>
      <c r="L119" s="8">
        <v>2</v>
      </c>
      <c r="M119" s="8">
        <v>1</v>
      </c>
      <c r="N119" s="8">
        <v>7</v>
      </c>
      <c r="O119" s="28">
        <f t="shared" si="6"/>
        <v>1.0244253705504898</v>
      </c>
      <c r="P119" s="28">
        <f t="shared" si="7"/>
        <v>2.7854943734955606</v>
      </c>
      <c r="Q119" s="28">
        <f t="shared" si="8"/>
        <v>0.73583371117876195</v>
      </c>
      <c r="R119" s="5">
        <f t="shared" si="9"/>
        <v>0.73583371117876195</v>
      </c>
      <c r="S119" s="5">
        <f t="shared" si="10"/>
        <v>-0.13322031946284102</v>
      </c>
      <c r="T119" s="5">
        <f t="shared" si="11"/>
        <v>1</v>
      </c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</row>
    <row r="120" spans="1:37" ht="15" x14ac:dyDescent="0.25">
      <c r="A120" s="8">
        <v>0</v>
      </c>
      <c r="B120" s="8">
        <v>41</v>
      </c>
      <c r="C120" s="8">
        <v>1</v>
      </c>
      <c r="D120" s="8">
        <v>2</v>
      </c>
      <c r="E120" s="8">
        <v>135</v>
      </c>
      <c r="F120" s="8">
        <v>203</v>
      </c>
      <c r="G120" s="8">
        <v>0</v>
      </c>
      <c r="H120" s="8">
        <v>0</v>
      </c>
      <c r="I120" s="8">
        <v>132</v>
      </c>
      <c r="J120" s="8">
        <v>0</v>
      </c>
      <c r="K120" s="8">
        <v>0</v>
      </c>
      <c r="L120" s="8">
        <v>2</v>
      </c>
      <c r="M120" s="8">
        <v>0</v>
      </c>
      <c r="N120" s="8">
        <v>6</v>
      </c>
      <c r="O120" s="28">
        <f t="shared" si="6"/>
        <v>-0.75322340284891087</v>
      </c>
      <c r="P120" s="28">
        <f t="shared" si="7"/>
        <v>0.47084637643575611</v>
      </c>
      <c r="Q120" s="28">
        <f t="shared" si="8"/>
        <v>0.32011934351481319</v>
      </c>
      <c r="R120" s="5">
        <f t="shared" si="9"/>
        <v>0.67988065648518681</v>
      </c>
      <c r="S120" s="5">
        <f t="shared" si="10"/>
        <v>-0.16756731490950363</v>
      </c>
      <c r="T120" s="5">
        <f t="shared" si="11"/>
        <v>1</v>
      </c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</row>
    <row r="121" spans="1:37" ht="15" x14ac:dyDescent="0.25">
      <c r="A121" s="8">
        <v>0</v>
      </c>
      <c r="B121" s="8">
        <v>58</v>
      </c>
      <c r="C121" s="8">
        <v>1</v>
      </c>
      <c r="D121" s="8">
        <v>3</v>
      </c>
      <c r="E121" s="8">
        <v>140</v>
      </c>
      <c r="F121" s="8">
        <v>211</v>
      </c>
      <c r="G121" s="8">
        <v>1</v>
      </c>
      <c r="H121" s="8">
        <v>2</v>
      </c>
      <c r="I121" s="8">
        <v>165</v>
      </c>
      <c r="J121" s="8">
        <v>0</v>
      </c>
      <c r="K121" s="8">
        <v>0</v>
      </c>
      <c r="L121" s="8">
        <v>1</v>
      </c>
      <c r="M121" s="8">
        <v>0</v>
      </c>
      <c r="N121" s="8">
        <v>3</v>
      </c>
      <c r="O121" s="28">
        <f t="shared" si="6"/>
        <v>-3.0731983942495358</v>
      </c>
      <c r="P121" s="28">
        <f t="shared" si="7"/>
        <v>4.6272918887582969E-2</v>
      </c>
      <c r="Q121" s="28">
        <f t="shared" si="8"/>
        <v>4.4226432752155341E-2</v>
      </c>
      <c r="R121" s="5">
        <f t="shared" si="9"/>
        <v>0.95577356724784468</v>
      </c>
      <c r="S121" s="5">
        <f t="shared" si="10"/>
        <v>-1.9644984442071762E-2</v>
      </c>
      <c r="T121" s="5">
        <f t="shared" si="11"/>
        <v>0</v>
      </c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</row>
    <row r="122" spans="1:37" ht="15" x14ac:dyDescent="0.25">
      <c r="A122" s="8">
        <v>0</v>
      </c>
      <c r="B122" s="8">
        <v>35</v>
      </c>
      <c r="C122" s="8">
        <v>0</v>
      </c>
      <c r="D122" s="8">
        <v>4</v>
      </c>
      <c r="E122" s="8">
        <v>138</v>
      </c>
      <c r="F122" s="8">
        <v>183</v>
      </c>
      <c r="G122" s="8">
        <v>0</v>
      </c>
      <c r="H122" s="8">
        <v>0</v>
      </c>
      <c r="I122" s="8">
        <v>182</v>
      </c>
      <c r="J122" s="8">
        <v>0</v>
      </c>
      <c r="K122" s="8">
        <v>1.4</v>
      </c>
      <c r="L122" s="8">
        <v>1</v>
      </c>
      <c r="M122" s="8">
        <v>0</v>
      </c>
      <c r="N122" s="8">
        <v>3</v>
      </c>
      <c r="O122" s="28">
        <f t="shared" si="6"/>
        <v>-3.1450396062625936</v>
      </c>
      <c r="P122" s="28">
        <f t="shared" si="7"/>
        <v>4.3065218360706169E-2</v>
      </c>
      <c r="Q122" s="28">
        <f t="shared" si="8"/>
        <v>4.1287177064908739E-2</v>
      </c>
      <c r="R122" s="5">
        <f t="shared" si="9"/>
        <v>0.9587128229350913</v>
      </c>
      <c r="S122" s="5">
        <f t="shared" si="10"/>
        <v>-1.8311463832731384E-2</v>
      </c>
      <c r="T122" s="5">
        <f t="shared" si="11"/>
        <v>1</v>
      </c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</row>
    <row r="123" spans="1:37" ht="15" x14ac:dyDescent="0.25">
      <c r="A123" s="8">
        <v>1</v>
      </c>
      <c r="B123" s="8">
        <v>63</v>
      </c>
      <c r="C123" s="8">
        <v>1</v>
      </c>
      <c r="D123" s="8">
        <v>4</v>
      </c>
      <c r="E123" s="8">
        <v>130</v>
      </c>
      <c r="F123" s="8">
        <v>330</v>
      </c>
      <c r="G123" s="8">
        <v>1</v>
      </c>
      <c r="H123" s="8">
        <v>2</v>
      </c>
      <c r="I123" s="8">
        <v>132</v>
      </c>
      <c r="J123" s="8">
        <v>1</v>
      </c>
      <c r="K123" s="8">
        <v>1.8</v>
      </c>
      <c r="L123" s="8">
        <v>1</v>
      </c>
      <c r="M123" s="8">
        <v>3</v>
      </c>
      <c r="N123" s="8">
        <v>7</v>
      </c>
      <c r="O123" s="28">
        <f t="shared" si="6"/>
        <v>5.0181028593085975</v>
      </c>
      <c r="P123" s="28">
        <f t="shared" si="7"/>
        <v>151.12432755171253</v>
      </c>
      <c r="Q123" s="28">
        <f t="shared" si="8"/>
        <v>0.99342642944692683</v>
      </c>
      <c r="R123" s="5">
        <f t="shared" si="9"/>
        <v>0.99342642944692683</v>
      </c>
      <c r="S123" s="5">
        <f t="shared" si="10"/>
        <v>-2.864290072349427E-3</v>
      </c>
      <c r="T123" s="5">
        <f t="shared" si="11"/>
        <v>1</v>
      </c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</row>
    <row r="124" spans="1:37" ht="15" x14ac:dyDescent="0.25">
      <c r="A124" s="8">
        <v>1</v>
      </c>
      <c r="B124" s="8">
        <v>65</v>
      </c>
      <c r="C124" s="8">
        <v>1</v>
      </c>
      <c r="D124" s="8">
        <v>4</v>
      </c>
      <c r="E124" s="8">
        <v>135</v>
      </c>
      <c r="F124" s="8">
        <v>254</v>
      </c>
      <c r="G124" s="8">
        <v>0</v>
      </c>
      <c r="H124" s="8">
        <v>2</v>
      </c>
      <c r="I124" s="8">
        <v>127</v>
      </c>
      <c r="J124" s="8">
        <v>0</v>
      </c>
      <c r="K124" s="8">
        <v>2.8</v>
      </c>
      <c r="L124" s="8">
        <v>2</v>
      </c>
      <c r="M124" s="8">
        <v>1</v>
      </c>
      <c r="N124" s="8">
        <v>7</v>
      </c>
      <c r="O124" s="28">
        <f t="shared" si="6"/>
        <v>3.2114966821643494</v>
      </c>
      <c r="P124" s="28">
        <f t="shared" si="7"/>
        <v>24.816200408129028</v>
      </c>
      <c r="Q124" s="28">
        <f t="shared" si="8"/>
        <v>0.96126463289752273</v>
      </c>
      <c r="R124" s="5">
        <f t="shared" si="9"/>
        <v>0.96126463289752273</v>
      </c>
      <c r="S124" s="5">
        <f t="shared" si="10"/>
        <v>-1.7157036071367072E-2</v>
      </c>
      <c r="T124" s="5">
        <f t="shared" si="11"/>
        <v>1</v>
      </c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</row>
    <row r="125" spans="1:37" ht="15" x14ac:dyDescent="0.25">
      <c r="A125" s="8">
        <v>1</v>
      </c>
      <c r="B125" s="8">
        <v>48</v>
      </c>
      <c r="C125" s="8">
        <v>1</v>
      </c>
      <c r="D125" s="8">
        <v>4</v>
      </c>
      <c r="E125" s="8">
        <v>130</v>
      </c>
      <c r="F125" s="8">
        <v>256</v>
      </c>
      <c r="G125" s="8">
        <v>1</v>
      </c>
      <c r="H125" s="8">
        <v>2</v>
      </c>
      <c r="I125" s="8">
        <v>150</v>
      </c>
      <c r="J125" s="8">
        <v>1</v>
      </c>
      <c r="K125" s="8">
        <v>0</v>
      </c>
      <c r="L125" s="8">
        <v>1</v>
      </c>
      <c r="M125" s="8">
        <v>2</v>
      </c>
      <c r="N125" s="8">
        <v>7</v>
      </c>
      <c r="O125" s="28">
        <f t="shared" si="6"/>
        <v>2.7759432935406947</v>
      </c>
      <c r="P125" s="28">
        <f t="shared" si="7"/>
        <v>16.053763266753304</v>
      </c>
      <c r="Q125" s="28">
        <f t="shared" si="8"/>
        <v>0.94136191617309928</v>
      </c>
      <c r="R125" s="5">
        <f t="shared" si="9"/>
        <v>0.94136191617309928</v>
      </c>
      <c r="S125" s="5">
        <f t="shared" si="10"/>
        <v>-2.6243375532746607E-2</v>
      </c>
      <c r="T125" s="5">
        <f t="shared" si="11"/>
        <v>0</v>
      </c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</row>
    <row r="126" spans="1:37" ht="15" x14ac:dyDescent="0.25">
      <c r="A126" s="8">
        <v>1</v>
      </c>
      <c r="B126" s="8">
        <v>63</v>
      </c>
      <c r="C126" s="8">
        <v>0</v>
      </c>
      <c r="D126" s="8">
        <v>4</v>
      </c>
      <c r="E126" s="8">
        <v>150</v>
      </c>
      <c r="F126" s="8">
        <v>407</v>
      </c>
      <c r="G126" s="8">
        <v>0</v>
      </c>
      <c r="H126" s="8">
        <v>2</v>
      </c>
      <c r="I126" s="8">
        <v>154</v>
      </c>
      <c r="J126" s="8">
        <v>0</v>
      </c>
      <c r="K126" s="8">
        <v>4</v>
      </c>
      <c r="L126" s="8">
        <v>2</v>
      </c>
      <c r="M126" s="8">
        <v>3</v>
      </c>
      <c r="N126" s="8">
        <v>7</v>
      </c>
      <c r="O126" s="28">
        <f t="shared" si="6"/>
        <v>5.3270077083144161</v>
      </c>
      <c r="P126" s="28">
        <f t="shared" si="7"/>
        <v>205.82117480466258</v>
      </c>
      <c r="Q126" s="28">
        <f t="shared" si="8"/>
        <v>0.99516490513631173</v>
      </c>
      <c r="R126" s="5">
        <f t="shared" si="9"/>
        <v>0.99516490513631173</v>
      </c>
      <c r="S126" s="5">
        <f t="shared" si="10"/>
        <v>-2.1049479410263244E-3</v>
      </c>
      <c r="T126" s="5">
        <f t="shared" si="11"/>
        <v>0</v>
      </c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</row>
    <row r="127" spans="1:37" ht="15" x14ac:dyDescent="0.25">
      <c r="A127" s="8">
        <v>0</v>
      </c>
      <c r="B127" s="8">
        <v>51</v>
      </c>
      <c r="C127" s="8">
        <v>1</v>
      </c>
      <c r="D127" s="8">
        <v>3</v>
      </c>
      <c r="E127" s="8">
        <v>100</v>
      </c>
      <c r="F127" s="8">
        <v>222</v>
      </c>
      <c r="G127" s="8">
        <v>0</v>
      </c>
      <c r="H127" s="8">
        <v>0</v>
      </c>
      <c r="I127" s="8">
        <v>143</v>
      </c>
      <c r="J127" s="8">
        <v>1</v>
      </c>
      <c r="K127" s="8">
        <v>1.2</v>
      </c>
      <c r="L127" s="8">
        <v>2</v>
      </c>
      <c r="M127" s="8">
        <v>0</v>
      </c>
      <c r="N127" s="8">
        <v>3</v>
      </c>
      <c r="O127" s="28">
        <f t="shared" si="6"/>
        <v>-1.1016414835773753</v>
      </c>
      <c r="P127" s="28">
        <f t="shared" si="7"/>
        <v>0.33232512949082665</v>
      </c>
      <c r="Q127" s="28">
        <f t="shared" si="8"/>
        <v>0.24943245618870147</v>
      </c>
      <c r="R127" s="5">
        <f t="shared" si="9"/>
        <v>0.75056754381129853</v>
      </c>
      <c r="S127" s="5">
        <f t="shared" si="10"/>
        <v>-0.12461021936393481</v>
      </c>
      <c r="T127" s="5">
        <f t="shared" si="11"/>
        <v>1</v>
      </c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</row>
    <row r="128" spans="1:37" ht="15" x14ac:dyDescent="0.25">
      <c r="A128" s="8">
        <v>1</v>
      </c>
      <c r="B128" s="8">
        <v>55</v>
      </c>
      <c r="C128" s="8">
        <v>1</v>
      </c>
      <c r="D128" s="8">
        <v>4</v>
      </c>
      <c r="E128" s="8">
        <v>140</v>
      </c>
      <c r="F128" s="8">
        <v>217</v>
      </c>
      <c r="G128" s="8">
        <v>0</v>
      </c>
      <c r="H128" s="8">
        <v>0</v>
      </c>
      <c r="I128" s="8">
        <v>111</v>
      </c>
      <c r="J128" s="8">
        <v>1</v>
      </c>
      <c r="K128" s="8">
        <v>5.6</v>
      </c>
      <c r="L128" s="8">
        <v>3</v>
      </c>
      <c r="M128" s="8">
        <v>0</v>
      </c>
      <c r="N128" s="8">
        <v>7</v>
      </c>
      <c r="O128" s="28">
        <f t="shared" si="6"/>
        <v>4.0498604606095467</v>
      </c>
      <c r="P128" s="28">
        <f t="shared" si="7"/>
        <v>57.389448398050391</v>
      </c>
      <c r="Q128" s="28">
        <f t="shared" si="8"/>
        <v>0.98287361796633466</v>
      </c>
      <c r="R128" s="5">
        <f t="shared" si="9"/>
        <v>0.98287361796633466</v>
      </c>
      <c r="S128" s="5">
        <f t="shared" si="10"/>
        <v>-7.5023219933817113E-3</v>
      </c>
      <c r="T128" s="5">
        <f t="shared" si="11"/>
        <v>1</v>
      </c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</row>
    <row r="129" spans="1:37" ht="15" x14ac:dyDescent="0.25">
      <c r="A129" s="8">
        <v>1</v>
      </c>
      <c r="B129" s="8">
        <v>65</v>
      </c>
      <c r="C129" s="8">
        <v>1</v>
      </c>
      <c r="D129" s="8">
        <v>1</v>
      </c>
      <c r="E129" s="8">
        <v>138</v>
      </c>
      <c r="F129" s="8">
        <v>282</v>
      </c>
      <c r="G129" s="8">
        <v>1</v>
      </c>
      <c r="H129" s="8">
        <v>2</v>
      </c>
      <c r="I129" s="8">
        <v>174</v>
      </c>
      <c r="J129" s="8">
        <v>0</v>
      </c>
      <c r="K129" s="8">
        <v>1.4</v>
      </c>
      <c r="L129" s="8">
        <v>2</v>
      </c>
      <c r="M129" s="8">
        <v>1</v>
      </c>
      <c r="N129" s="8">
        <v>3</v>
      </c>
      <c r="O129" s="28">
        <f t="shared" si="6"/>
        <v>-2.0194214304779896</v>
      </c>
      <c r="P129" s="28">
        <f t="shared" si="7"/>
        <v>0.13273223769615147</v>
      </c>
      <c r="Q129" s="28">
        <f t="shared" si="8"/>
        <v>0.11717882945232824</v>
      </c>
      <c r="R129" s="5">
        <f t="shared" si="9"/>
        <v>0.11717882945232824</v>
      </c>
      <c r="S129" s="5">
        <f t="shared" si="10"/>
        <v>-0.93115084465358955</v>
      </c>
      <c r="T129" s="5">
        <f t="shared" si="11"/>
        <v>1</v>
      </c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</row>
    <row r="130" spans="1:37" ht="15" x14ac:dyDescent="0.25">
      <c r="A130" s="8">
        <v>0</v>
      </c>
      <c r="B130" s="8">
        <v>45</v>
      </c>
      <c r="C130" s="8">
        <v>0</v>
      </c>
      <c r="D130" s="8">
        <v>2</v>
      </c>
      <c r="E130" s="8">
        <v>130</v>
      </c>
      <c r="F130" s="8">
        <v>234</v>
      </c>
      <c r="G130" s="8">
        <v>0</v>
      </c>
      <c r="H130" s="8">
        <v>2</v>
      </c>
      <c r="I130" s="8">
        <v>175</v>
      </c>
      <c r="J130" s="8">
        <v>0</v>
      </c>
      <c r="K130" s="8">
        <v>0.6</v>
      </c>
      <c r="L130" s="8">
        <v>2</v>
      </c>
      <c r="M130" s="8">
        <v>0</v>
      </c>
      <c r="N130" s="8">
        <v>3</v>
      </c>
      <c r="O130" s="28">
        <f t="shared" si="6"/>
        <v>-3.3688752861491453</v>
      </c>
      <c r="P130" s="28">
        <f t="shared" si="7"/>
        <v>3.4428337604198833E-2</v>
      </c>
      <c r="Q130" s="28">
        <f t="shared" si="8"/>
        <v>3.3282477241426918E-2</v>
      </c>
      <c r="R130" s="5">
        <f t="shared" si="9"/>
        <v>0.96671752275857303</v>
      </c>
      <c r="S130" s="5">
        <f t="shared" si="10"/>
        <v>-1.4700409297475327E-2</v>
      </c>
      <c r="T130" s="5">
        <f t="shared" si="11"/>
        <v>1</v>
      </c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</row>
    <row r="131" spans="1:37" ht="15" x14ac:dyDescent="0.25">
      <c r="A131" s="8">
        <v>1</v>
      </c>
      <c r="B131" s="8">
        <v>56</v>
      </c>
      <c r="C131" s="8">
        <v>0</v>
      </c>
      <c r="D131" s="8">
        <v>4</v>
      </c>
      <c r="E131" s="8">
        <v>200</v>
      </c>
      <c r="F131" s="8">
        <v>288</v>
      </c>
      <c r="G131" s="8">
        <v>1</v>
      </c>
      <c r="H131" s="8">
        <v>2</v>
      </c>
      <c r="I131" s="8">
        <v>133</v>
      </c>
      <c r="J131" s="8">
        <v>1</v>
      </c>
      <c r="K131" s="8">
        <v>4</v>
      </c>
      <c r="L131" s="8">
        <v>3</v>
      </c>
      <c r="M131" s="8">
        <v>2</v>
      </c>
      <c r="N131" s="8">
        <v>7</v>
      </c>
      <c r="O131" s="28">
        <f t="shared" si="6"/>
        <v>5.6743866609982136</v>
      </c>
      <c r="P131" s="28">
        <f t="shared" si="7"/>
        <v>291.3096121942479</v>
      </c>
      <c r="Q131" s="28">
        <f t="shared" si="8"/>
        <v>0.99657896983785987</v>
      </c>
      <c r="R131" s="5">
        <f t="shared" si="9"/>
        <v>0.99657896983785987</v>
      </c>
      <c r="S131" s="5">
        <f t="shared" si="10"/>
        <v>-1.4882817041322678E-3</v>
      </c>
      <c r="T131" s="5">
        <f t="shared" si="11"/>
        <v>1</v>
      </c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</row>
    <row r="132" spans="1:37" ht="15" x14ac:dyDescent="0.25">
      <c r="A132" s="8">
        <v>1</v>
      </c>
      <c r="B132" s="8">
        <v>54</v>
      </c>
      <c r="C132" s="8">
        <v>1</v>
      </c>
      <c r="D132" s="8">
        <v>4</v>
      </c>
      <c r="E132" s="8">
        <v>110</v>
      </c>
      <c r="F132" s="8">
        <v>239</v>
      </c>
      <c r="G132" s="8">
        <v>0</v>
      </c>
      <c r="H132" s="8">
        <v>0</v>
      </c>
      <c r="I132" s="8">
        <v>126</v>
      </c>
      <c r="J132" s="8">
        <v>1</v>
      </c>
      <c r="K132" s="8">
        <v>2.8</v>
      </c>
      <c r="L132" s="8">
        <v>2</v>
      </c>
      <c r="M132" s="8">
        <v>1</v>
      </c>
      <c r="N132" s="8">
        <v>7</v>
      </c>
      <c r="O132" s="28">
        <f t="shared" si="6"/>
        <v>3.1476813441438205</v>
      </c>
      <c r="P132" s="28">
        <f t="shared" si="7"/>
        <v>23.282018958954069</v>
      </c>
      <c r="Q132" s="28">
        <f t="shared" si="8"/>
        <v>0.95881726302535286</v>
      </c>
      <c r="R132" s="5">
        <f t="shared" si="9"/>
        <v>0.95881726302535286</v>
      </c>
      <c r="S132" s="5">
        <f t="shared" si="10"/>
        <v>-1.8264155313019469E-2</v>
      </c>
      <c r="T132" s="5">
        <f t="shared" si="11"/>
        <v>1</v>
      </c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</row>
    <row r="133" spans="1:37" ht="15" x14ac:dyDescent="0.25">
      <c r="A133" s="8">
        <v>0</v>
      </c>
      <c r="B133" s="8">
        <v>44</v>
      </c>
      <c r="C133" s="8">
        <v>1</v>
      </c>
      <c r="D133" s="8">
        <v>2</v>
      </c>
      <c r="E133" s="8">
        <v>120</v>
      </c>
      <c r="F133" s="8">
        <v>220</v>
      </c>
      <c r="G133" s="8">
        <v>0</v>
      </c>
      <c r="H133" s="8">
        <v>0</v>
      </c>
      <c r="I133" s="8">
        <v>170</v>
      </c>
      <c r="J133" s="8">
        <v>0</v>
      </c>
      <c r="K133" s="8">
        <v>0</v>
      </c>
      <c r="L133" s="8">
        <v>1</v>
      </c>
      <c r="M133" s="8">
        <v>0</v>
      </c>
      <c r="N133" s="8">
        <v>3</v>
      </c>
      <c r="O133" s="28">
        <f t="shared" si="6"/>
        <v>-3.4585126904443442</v>
      </c>
      <c r="P133" s="28">
        <f t="shared" si="7"/>
        <v>3.1476542583716981E-2</v>
      </c>
      <c r="Q133" s="28">
        <f t="shared" si="8"/>
        <v>3.051600427564961E-2</v>
      </c>
      <c r="R133" s="5">
        <f t="shared" si="9"/>
        <v>0.9694839957243504</v>
      </c>
      <c r="S133" s="5">
        <f t="shared" si="10"/>
        <v>-1.345935587457058E-2</v>
      </c>
      <c r="T133" s="5">
        <f t="shared" si="11"/>
        <v>1</v>
      </c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</row>
    <row r="134" spans="1:37" ht="15" x14ac:dyDescent="0.25">
      <c r="A134" s="8">
        <v>0</v>
      </c>
      <c r="B134" s="8">
        <v>62</v>
      </c>
      <c r="C134" s="8">
        <v>0</v>
      </c>
      <c r="D134" s="8">
        <v>4</v>
      </c>
      <c r="E134" s="8">
        <v>124</v>
      </c>
      <c r="F134" s="8">
        <v>209</v>
      </c>
      <c r="G134" s="8">
        <v>0</v>
      </c>
      <c r="H134" s="8">
        <v>0</v>
      </c>
      <c r="I134" s="8">
        <v>163</v>
      </c>
      <c r="J134" s="8">
        <v>0</v>
      </c>
      <c r="K134" s="8">
        <v>0</v>
      </c>
      <c r="L134" s="8">
        <v>1</v>
      </c>
      <c r="M134" s="8">
        <v>0</v>
      </c>
      <c r="N134" s="8">
        <v>3</v>
      </c>
      <c r="O134" s="28">
        <f t="shared" si="6"/>
        <v>-3.6877597082427123</v>
      </c>
      <c r="P134" s="28">
        <f t="shared" si="7"/>
        <v>2.5028009325517322E-2</v>
      </c>
      <c r="Q134" s="28">
        <f t="shared" si="8"/>
        <v>2.4416902853207006E-2</v>
      </c>
      <c r="R134" s="5">
        <f t="shared" si="9"/>
        <v>0.97558309714679303</v>
      </c>
      <c r="S134" s="5">
        <f t="shared" si="10"/>
        <v>-1.073573283500745E-2</v>
      </c>
      <c r="T134" s="5">
        <f t="shared" si="11"/>
        <v>0</v>
      </c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</row>
    <row r="135" spans="1:37" ht="15" x14ac:dyDescent="0.25">
      <c r="A135" s="8">
        <v>0</v>
      </c>
      <c r="B135" s="8">
        <v>54</v>
      </c>
      <c r="C135" s="8">
        <v>1</v>
      </c>
      <c r="D135" s="8">
        <v>3</v>
      </c>
      <c r="E135" s="8">
        <v>120</v>
      </c>
      <c r="F135" s="8">
        <v>258</v>
      </c>
      <c r="G135" s="8">
        <v>0</v>
      </c>
      <c r="H135" s="8">
        <v>2</v>
      </c>
      <c r="I135" s="8">
        <v>147</v>
      </c>
      <c r="J135" s="8">
        <v>0</v>
      </c>
      <c r="K135" s="8">
        <v>0.4</v>
      </c>
      <c r="L135" s="8">
        <v>2</v>
      </c>
      <c r="M135" s="8">
        <v>0</v>
      </c>
      <c r="N135" s="8">
        <v>7</v>
      </c>
      <c r="O135" s="28">
        <f t="shared" ref="O135:O198" si="12">$A$3+SUMPRODUCT($B$3:$N$3,B135:N135)</f>
        <v>0.1759960470630153</v>
      </c>
      <c r="P135" s="28">
        <f t="shared" ref="P135:P198" si="13">EXP(O135)</f>
        <v>1.1924333450274818</v>
      </c>
      <c r="Q135" s="28">
        <f t="shared" ref="Q135:Q198" si="14">P135/(P135+1)</f>
        <v>0.54388579143441873</v>
      </c>
      <c r="R135" s="5">
        <f t="shared" ref="R135:R198" si="15">IF(A135=1,Q135,1-Q135)</f>
        <v>0.45611420856558127</v>
      </c>
      <c r="S135" s="5">
        <f t="shared" ref="S135:S198" si="16">LOG(R135)</f>
        <v>-0.34092639869632563</v>
      </c>
      <c r="T135" s="5">
        <f t="shared" ref="T135:T198" si="17">IF(Q131&gt;Q$2,1,0)</f>
        <v>1</v>
      </c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</row>
    <row r="136" spans="1:37" ht="15" x14ac:dyDescent="0.25">
      <c r="A136" s="8">
        <v>0</v>
      </c>
      <c r="B136" s="8">
        <v>51</v>
      </c>
      <c r="C136" s="8">
        <v>1</v>
      </c>
      <c r="D136" s="8">
        <v>3</v>
      </c>
      <c r="E136" s="8">
        <v>94</v>
      </c>
      <c r="F136" s="8">
        <v>227</v>
      </c>
      <c r="G136" s="8">
        <v>0</v>
      </c>
      <c r="H136" s="8">
        <v>0</v>
      </c>
      <c r="I136" s="8">
        <v>154</v>
      </c>
      <c r="J136" s="8">
        <v>1</v>
      </c>
      <c r="K136" s="8">
        <v>0</v>
      </c>
      <c r="L136" s="8">
        <v>1</v>
      </c>
      <c r="M136" s="8">
        <v>1</v>
      </c>
      <c r="N136" s="8">
        <v>7</v>
      </c>
      <c r="O136" s="28">
        <f t="shared" si="12"/>
        <v>0.32837004631481737</v>
      </c>
      <c r="P136" s="28">
        <f t="shared" si="13"/>
        <v>1.3887027615599283</v>
      </c>
      <c r="Q136" s="28">
        <f t="shared" si="14"/>
        <v>0.58136273123117421</v>
      </c>
      <c r="R136" s="5">
        <f t="shared" si="15"/>
        <v>0.41863726876882579</v>
      </c>
      <c r="S136" s="5">
        <f t="shared" si="16"/>
        <v>-0.37816211163953839</v>
      </c>
      <c r="T136" s="5">
        <f t="shared" si="17"/>
        <v>1</v>
      </c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</row>
    <row r="137" spans="1:37" ht="15" x14ac:dyDescent="0.25">
      <c r="A137" s="8">
        <v>0</v>
      </c>
      <c r="B137" s="8">
        <v>29</v>
      </c>
      <c r="C137" s="8">
        <v>1</v>
      </c>
      <c r="D137" s="8">
        <v>2</v>
      </c>
      <c r="E137" s="8">
        <v>130</v>
      </c>
      <c r="F137" s="8">
        <v>204</v>
      </c>
      <c r="G137" s="8">
        <v>0</v>
      </c>
      <c r="H137" s="8">
        <v>2</v>
      </c>
      <c r="I137" s="8">
        <v>202</v>
      </c>
      <c r="J137" s="8">
        <v>0</v>
      </c>
      <c r="K137" s="8">
        <v>0</v>
      </c>
      <c r="L137" s="8">
        <v>1</v>
      </c>
      <c r="M137" s="8">
        <v>0</v>
      </c>
      <c r="N137" s="8">
        <v>3</v>
      </c>
      <c r="O137" s="28">
        <f t="shared" si="12"/>
        <v>-3.2564698782557473</v>
      </c>
      <c r="P137" s="28">
        <f t="shared" si="13"/>
        <v>3.8524153211322548E-2</v>
      </c>
      <c r="Q137" s="28">
        <f t="shared" si="14"/>
        <v>3.7095096047788809E-2</v>
      </c>
      <c r="R137" s="5">
        <f t="shared" si="15"/>
        <v>0.96290490395221118</v>
      </c>
      <c r="S137" s="5">
        <f t="shared" si="16"/>
        <v>-1.6416601482015378E-2</v>
      </c>
      <c r="T137" s="5">
        <f t="shared" si="17"/>
        <v>0</v>
      </c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</row>
    <row r="138" spans="1:37" ht="15" x14ac:dyDescent="0.25">
      <c r="A138" s="8">
        <v>0</v>
      </c>
      <c r="B138" s="8">
        <v>51</v>
      </c>
      <c r="C138" s="8">
        <v>1</v>
      </c>
      <c r="D138" s="8">
        <v>4</v>
      </c>
      <c r="E138" s="8">
        <v>140</v>
      </c>
      <c r="F138" s="8">
        <v>261</v>
      </c>
      <c r="G138" s="8">
        <v>0</v>
      </c>
      <c r="H138" s="8">
        <v>2</v>
      </c>
      <c r="I138" s="8">
        <v>186</v>
      </c>
      <c r="J138" s="8">
        <v>1</v>
      </c>
      <c r="K138" s="8">
        <v>0</v>
      </c>
      <c r="L138" s="8">
        <v>1</v>
      </c>
      <c r="M138" s="8">
        <v>0</v>
      </c>
      <c r="N138" s="8">
        <v>3</v>
      </c>
      <c r="O138" s="28">
        <f t="shared" si="12"/>
        <v>-0.63416934515486734</v>
      </c>
      <c r="P138" s="28">
        <f t="shared" si="13"/>
        <v>0.53037586467360298</v>
      </c>
      <c r="Q138" s="28">
        <f t="shared" si="14"/>
        <v>0.34656575349659019</v>
      </c>
      <c r="R138" s="5">
        <f t="shared" si="15"/>
        <v>0.65343424650340975</v>
      </c>
      <c r="S138" s="5">
        <f t="shared" si="16"/>
        <v>-0.18479810788063095</v>
      </c>
      <c r="T138" s="5">
        <f t="shared" si="17"/>
        <v>0</v>
      </c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</row>
    <row r="139" spans="1:37" ht="15" x14ac:dyDescent="0.25">
      <c r="A139" s="8">
        <v>0</v>
      </c>
      <c r="B139" s="8">
        <v>43</v>
      </c>
      <c r="C139" s="8">
        <v>0</v>
      </c>
      <c r="D139" s="8">
        <v>3</v>
      </c>
      <c r="E139" s="8">
        <v>122</v>
      </c>
      <c r="F139" s="8">
        <v>213</v>
      </c>
      <c r="G139" s="8">
        <v>0</v>
      </c>
      <c r="H139" s="8">
        <v>0</v>
      </c>
      <c r="I139" s="8">
        <v>165</v>
      </c>
      <c r="J139" s="8">
        <v>0</v>
      </c>
      <c r="K139" s="8">
        <v>0.2</v>
      </c>
      <c r="L139" s="8">
        <v>2</v>
      </c>
      <c r="M139" s="8">
        <v>0</v>
      </c>
      <c r="N139" s="8">
        <v>3</v>
      </c>
      <c r="O139" s="28">
        <f t="shared" si="12"/>
        <v>-3.4445713526753288</v>
      </c>
      <c r="P139" s="28">
        <f t="shared" si="13"/>
        <v>3.1918440864987671E-2</v>
      </c>
      <c r="Q139" s="28">
        <f t="shared" si="14"/>
        <v>3.0931166263714206E-2</v>
      </c>
      <c r="R139" s="5">
        <f t="shared" si="15"/>
        <v>0.96906883373628583</v>
      </c>
      <c r="S139" s="5">
        <f t="shared" si="16"/>
        <v>-1.3645373568314948E-2</v>
      </c>
      <c r="T139" s="5">
        <f t="shared" si="17"/>
        <v>1</v>
      </c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</row>
    <row r="140" spans="1:37" ht="15" x14ac:dyDescent="0.25">
      <c r="A140" s="8">
        <v>0</v>
      </c>
      <c r="B140" s="8">
        <v>55</v>
      </c>
      <c r="C140" s="8">
        <v>0</v>
      </c>
      <c r="D140" s="8">
        <v>2</v>
      </c>
      <c r="E140" s="8">
        <v>135</v>
      </c>
      <c r="F140" s="8">
        <v>250</v>
      </c>
      <c r="G140" s="8">
        <v>0</v>
      </c>
      <c r="H140" s="8">
        <v>2</v>
      </c>
      <c r="I140" s="8">
        <v>161</v>
      </c>
      <c r="J140" s="8">
        <v>0</v>
      </c>
      <c r="K140" s="8">
        <v>1.4</v>
      </c>
      <c r="L140" s="8">
        <v>2</v>
      </c>
      <c r="M140" s="8">
        <v>0</v>
      </c>
      <c r="N140" s="8">
        <v>3</v>
      </c>
      <c r="O140" s="28">
        <f t="shared" si="12"/>
        <v>-2.8231471911025636</v>
      </c>
      <c r="P140" s="28">
        <f t="shared" si="13"/>
        <v>5.9418646299776709E-2</v>
      </c>
      <c r="Q140" s="28">
        <f t="shared" si="14"/>
        <v>5.6086086937687712E-2</v>
      </c>
      <c r="R140" s="5">
        <f t="shared" si="15"/>
        <v>0.94391391306231232</v>
      </c>
      <c r="S140" s="5">
        <f t="shared" si="16"/>
        <v>-2.5067612467651591E-2</v>
      </c>
      <c r="T140" s="5">
        <f t="shared" si="17"/>
        <v>1</v>
      </c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</row>
    <row r="141" spans="1:37" ht="15" x14ac:dyDescent="0.25">
      <c r="A141" s="8">
        <v>1</v>
      </c>
      <c r="B141" s="8">
        <v>70</v>
      </c>
      <c r="C141" s="8">
        <v>1</v>
      </c>
      <c r="D141" s="8">
        <v>4</v>
      </c>
      <c r="E141" s="8">
        <v>145</v>
      </c>
      <c r="F141" s="8">
        <v>174</v>
      </c>
      <c r="G141" s="8">
        <v>0</v>
      </c>
      <c r="H141" s="8">
        <v>0</v>
      </c>
      <c r="I141" s="8">
        <v>125</v>
      </c>
      <c r="J141" s="8">
        <v>1</v>
      </c>
      <c r="K141" s="8">
        <v>2.6</v>
      </c>
      <c r="L141" s="8">
        <v>3</v>
      </c>
      <c r="M141" s="8">
        <v>0</v>
      </c>
      <c r="N141" s="8">
        <v>7</v>
      </c>
      <c r="O141" s="28">
        <f t="shared" si="12"/>
        <v>2.7115996871564905</v>
      </c>
      <c r="P141" s="28">
        <f t="shared" si="13"/>
        <v>15.053336894096471</v>
      </c>
      <c r="Q141" s="28">
        <f t="shared" si="14"/>
        <v>0.93770765501297459</v>
      </c>
      <c r="R141" s="5">
        <f t="shared" si="15"/>
        <v>0.93770765501297459</v>
      </c>
      <c r="S141" s="5">
        <f t="shared" si="16"/>
        <v>-2.7932538597583212E-2</v>
      </c>
      <c r="T141" s="5">
        <f t="shared" si="17"/>
        <v>0</v>
      </c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</row>
    <row r="142" spans="1:37" ht="15" x14ac:dyDescent="0.25">
      <c r="A142" s="8">
        <v>1</v>
      </c>
      <c r="B142" s="8">
        <v>62</v>
      </c>
      <c r="C142" s="8">
        <v>1</v>
      </c>
      <c r="D142" s="8">
        <v>2</v>
      </c>
      <c r="E142" s="8">
        <v>120</v>
      </c>
      <c r="F142" s="8">
        <v>281</v>
      </c>
      <c r="G142" s="8">
        <v>0</v>
      </c>
      <c r="H142" s="8">
        <v>2</v>
      </c>
      <c r="I142" s="8">
        <v>103</v>
      </c>
      <c r="J142" s="8">
        <v>0</v>
      </c>
      <c r="K142" s="8">
        <v>1.4</v>
      </c>
      <c r="L142" s="8">
        <v>2</v>
      </c>
      <c r="M142" s="8">
        <v>1</v>
      </c>
      <c r="N142" s="8">
        <v>7</v>
      </c>
      <c r="O142" s="28">
        <f t="shared" si="12"/>
        <v>2.0259308410922765</v>
      </c>
      <c r="P142" s="28">
        <f t="shared" si="13"/>
        <v>7.5831663832604157</v>
      </c>
      <c r="Q142" s="28">
        <f t="shared" si="14"/>
        <v>0.88349287951002786</v>
      </c>
      <c r="R142" s="5">
        <f t="shared" si="15"/>
        <v>0.88349287951002786</v>
      </c>
      <c r="S142" s="5">
        <f t="shared" si="16"/>
        <v>-5.3796946329220323E-2</v>
      </c>
      <c r="T142" s="5">
        <f t="shared" si="17"/>
        <v>1</v>
      </c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</row>
    <row r="143" spans="1:37" ht="15" x14ac:dyDescent="0.25">
      <c r="A143" s="8">
        <v>1</v>
      </c>
      <c r="B143" s="8">
        <v>35</v>
      </c>
      <c r="C143" s="8">
        <v>1</v>
      </c>
      <c r="D143" s="8">
        <v>4</v>
      </c>
      <c r="E143" s="8">
        <v>120</v>
      </c>
      <c r="F143" s="8">
        <v>198</v>
      </c>
      <c r="G143" s="8">
        <v>0</v>
      </c>
      <c r="H143" s="8">
        <v>0</v>
      </c>
      <c r="I143" s="8">
        <v>130</v>
      </c>
      <c r="J143" s="8">
        <v>1</v>
      </c>
      <c r="K143" s="8">
        <v>1.6</v>
      </c>
      <c r="L143" s="8">
        <v>2</v>
      </c>
      <c r="M143" s="8">
        <v>0</v>
      </c>
      <c r="N143" s="8">
        <v>7</v>
      </c>
      <c r="O143" s="28">
        <f t="shared" si="12"/>
        <v>1.8051158228931561</v>
      </c>
      <c r="P143" s="28">
        <f t="shared" si="13"/>
        <v>6.0806756891866209</v>
      </c>
      <c r="Q143" s="28">
        <f t="shared" si="14"/>
        <v>0.85877054056759472</v>
      </c>
      <c r="R143" s="5">
        <f t="shared" si="15"/>
        <v>0.85877054056759472</v>
      </c>
      <c r="S143" s="5">
        <f t="shared" si="16"/>
        <v>-6.6122862103017876E-2</v>
      </c>
      <c r="T143" s="5">
        <f t="shared" si="17"/>
        <v>0</v>
      </c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</row>
    <row r="144" spans="1:37" ht="15" x14ac:dyDescent="0.25">
      <c r="A144" s="8">
        <v>0</v>
      </c>
      <c r="B144" s="8">
        <v>51</v>
      </c>
      <c r="C144" s="8">
        <v>1</v>
      </c>
      <c r="D144" s="8">
        <v>3</v>
      </c>
      <c r="E144" s="8">
        <v>125</v>
      </c>
      <c r="F144" s="8">
        <v>245</v>
      </c>
      <c r="G144" s="8">
        <v>1</v>
      </c>
      <c r="H144" s="8">
        <v>2</v>
      </c>
      <c r="I144" s="8">
        <v>166</v>
      </c>
      <c r="J144" s="8">
        <v>0</v>
      </c>
      <c r="K144" s="8">
        <v>2.4</v>
      </c>
      <c r="L144" s="8">
        <v>2</v>
      </c>
      <c r="M144" s="8">
        <v>0</v>
      </c>
      <c r="N144" s="8">
        <v>3</v>
      </c>
      <c r="O144" s="28">
        <f t="shared" si="12"/>
        <v>-2.0218677041127977</v>
      </c>
      <c r="P144" s="28">
        <f t="shared" si="13"/>
        <v>0.13240793515069538</v>
      </c>
      <c r="Q144" s="28">
        <f t="shared" si="14"/>
        <v>0.1169260043493736</v>
      </c>
      <c r="R144" s="5">
        <f t="shared" si="15"/>
        <v>0.88307399565062639</v>
      </c>
      <c r="S144" s="5">
        <f t="shared" si="16"/>
        <v>-5.4002903946408519E-2</v>
      </c>
      <c r="T144" s="5">
        <f t="shared" si="17"/>
        <v>0</v>
      </c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</row>
    <row r="145" spans="1:37" ht="15" x14ac:dyDescent="0.25">
      <c r="A145" s="8">
        <v>0</v>
      </c>
      <c r="B145" s="8">
        <v>59</v>
      </c>
      <c r="C145" s="8">
        <v>1</v>
      </c>
      <c r="D145" s="8">
        <v>2</v>
      </c>
      <c r="E145" s="8">
        <v>140</v>
      </c>
      <c r="F145" s="8">
        <v>221</v>
      </c>
      <c r="G145" s="8">
        <v>0</v>
      </c>
      <c r="H145" s="8">
        <v>0</v>
      </c>
      <c r="I145" s="8">
        <v>164</v>
      </c>
      <c r="J145" s="8">
        <v>1</v>
      </c>
      <c r="K145" s="8">
        <v>0</v>
      </c>
      <c r="L145" s="8">
        <v>1</v>
      </c>
      <c r="M145" s="8">
        <v>0</v>
      </c>
      <c r="N145" s="8">
        <v>3</v>
      </c>
      <c r="O145" s="28">
        <f t="shared" si="12"/>
        <v>-2.1348244822582645</v>
      </c>
      <c r="P145" s="28">
        <f t="shared" si="13"/>
        <v>0.11826534622156699</v>
      </c>
      <c r="Q145" s="28">
        <f t="shared" si="14"/>
        <v>0.10575785668505777</v>
      </c>
      <c r="R145" s="5">
        <f t="shared" si="15"/>
        <v>0.89424214331494223</v>
      </c>
      <c r="S145" s="5">
        <f t="shared" si="16"/>
        <v>-4.8544866812155564E-2</v>
      </c>
      <c r="T145" s="5">
        <f t="shared" si="17"/>
        <v>1</v>
      </c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</row>
    <row r="146" spans="1:37" ht="15" x14ac:dyDescent="0.25">
      <c r="A146" s="8">
        <v>1</v>
      </c>
      <c r="B146" s="8">
        <v>59</v>
      </c>
      <c r="C146" s="8">
        <v>1</v>
      </c>
      <c r="D146" s="8">
        <v>1</v>
      </c>
      <c r="E146" s="8">
        <v>170</v>
      </c>
      <c r="F146" s="8">
        <v>288</v>
      </c>
      <c r="G146" s="8">
        <v>0</v>
      </c>
      <c r="H146" s="8">
        <v>2</v>
      </c>
      <c r="I146" s="8">
        <v>159</v>
      </c>
      <c r="J146" s="8">
        <v>0</v>
      </c>
      <c r="K146" s="8">
        <v>0.2</v>
      </c>
      <c r="L146" s="8">
        <v>2</v>
      </c>
      <c r="M146" s="8">
        <v>0</v>
      </c>
      <c r="N146" s="8">
        <v>7</v>
      </c>
      <c r="O146" s="28">
        <f t="shared" si="12"/>
        <v>8.0580685318416556E-3</v>
      </c>
      <c r="P146" s="28">
        <f t="shared" si="13"/>
        <v>1.00809062214708</v>
      </c>
      <c r="Q146" s="28">
        <f t="shared" si="14"/>
        <v>0.5020145062324004</v>
      </c>
      <c r="R146" s="5">
        <f t="shared" si="15"/>
        <v>0.5020145062324004</v>
      </c>
      <c r="S146" s="5">
        <f t="shared" si="16"/>
        <v>-0.29928373328194952</v>
      </c>
      <c r="T146" s="5">
        <f t="shared" si="17"/>
        <v>1</v>
      </c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</row>
    <row r="147" spans="1:37" ht="15" x14ac:dyDescent="0.25">
      <c r="A147" s="8">
        <v>0</v>
      </c>
      <c r="B147" s="8">
        <v>52</v>
      </c>
      <c r="C147" s="8">
        <v>1</v>
      </c>
      <c r="D147" s="8">
        <v>2</v>
      </c>
      <c r="E147" s="8">
        <v>128</v>
      </c>
      <c r="F147" s="8">
        <v>205</v>
      </c>
      <c r="G147" s="8">
        <v>1</v>
      </c>
      <c r="H147" s="8">
        <v>0</v>
      </c>
      <c r="I147" s="8">
        <v>184</v>
      </c>
      <c r="J147" s="8">
        <v>0</v>
      </c>
      <c r="K147" s="8">
        <v>0</v>
      </c>
      <c r="L147" s="8">
        <v>1</v>
      </c>
      <c r="M147" s="8">
        <v>0</v>
      </c>
      <c r="N147" s="8">
        <v>3</v>
      </c>
      <c r="O147" s="28">
        <f t="shared" si="12"/>
        <v>-4.765598691445863</v>
      </c>
      <c r="P147" s="28">
        <f t="shared" si="13"/>
        <v>8.5177871892467179E-3</v>
      </c>
      <c r="Q147" s="28">
        <f t="shared" si="14"/>
        <v>8.4458472596560842E-3</v>
      </c>
      <c r="R147" s="5">
        <f t="shared" si="15"/>
        <v>0.99155415274034386</v>
      </c>
      <c r="S147" s="5">
        <f t="shared" si="16"/>
        <v>-3.6835622513289629E-3</v>
      </c>
      <c r="T147" s="5">
        <f t="shared" si="17"/>
        <v>1</v>
      </c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</row>
    <row r="148" spans="1:37" ht="15" x14ac:dyDescent="0.25">
      <c r="A148" s="8">
        <v>1</v>
      </c>
      <c r="B148" s="8">
        <v>64</v>
      </c>
      <c r="C148" s="8">
        <v>1</v>
      </c>
      <c r="D148" s="8">
        <v>3</v>
      </c>
      <c r="E148" s="8">
        <v>125</v>
      </c>
      <c r="F148" s="8">
        <v>309</v>
      </c>
      <c r="G148" s="8">
        <v>0</v>
      </c>
      <c r="H148" s="8">
        <v>0</v>
      </c>
      <c r="I148" s="8">
        <v>131</v>
      </c>
      <c r="J148" s="8">
        <v>1</v>
      </c>
      <c r="K148" s="8">
        <v>1.8</v>
      </c>
      <c r="L148" s="8">
        <v>2</v>
      </c>
      <c r="M148" s="8">
        <v>0</v>
      </c>
      <c r="N148" s="8">
        <v>7</v>
      </c>
      <c r="O148" s="28">
        <f t="shared" si="12"/>
        <v>1.5221236829208697</v>
      </c>
      <c r="P148" s="28">
        <f t="shared" si="13"/>
        <v>4.5819454694364792</v>
      </c>
      <c r="Q148" s="28">
        <f t="shared" si="14"/>
        <v>0.82085099084621582</v>
      </c>
      <c r="R148" s="5">
        <f t="shared" si="15"/>
        <v>0.82085099084621582</v>
      </c>
      <c r="S148" s="5">
        <f t="shared" si="16"/>
        <v>-8.5735673241877058E-2</v>
      </c>
      <c r="T148" s="5">
        <f t="shared" si="17"/>
        <v>1</v>
      </c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</row>
    <row r="149" spans="1:37" ht="15" x14ac:dyDescent="0.25">
      <c r="A149" s="8">
        <v>0</v>
      </c>
      <c r="B149" s="8">
        <v>58</v>
      </c>
      <c r="C149" s="8">
        <v>1</v>
      </c>
      <c r="D149" s="8">
        <v>3</v>
      </c>
      <c r="E149" s="8">
        <v>105</v>
      </c>
      <c r="F149" s="8">
        <v>240</v>
      </c>
      <c r="G149" s="8">
        <v>0</v>
      </c>
      <c r="H149" s="8">
        <v>2</v>
      </c>
      <c r="I149" s="8">
        <v>154</v>
      </c>
      <c r="J149" s="8">
        <v>1</v>
      </c>
      <c r="K149" s="8">
        <v>0.6</v>
      </c>
      <c r="L149" s="8">
        <v>2</v>
      </c>
      <c r="M149" s="8">
        <v>0</v>
      </c>
      <c r="N149" s="8">
        <v>7</v>
      </c>
      <c r="O149" s="28">
        <f t="shared" si="12"/>
        <v>0.49980719062829682</v>
      </c>
      <c r="P149" s="28">
        <f t="shared" si="13"/>
        <v>1.6484034124318221</v>
      </c>
      <c r="Q149" s="28">
        <f t="shared" si="14"/>
        <v>0.62241401921402217</v>
      </c>
      <c r="R149" s="5">
        <f t="shared" si="15"/>
        <v>0.37758598078597783</v>
      </c>
      <c r="S149" s="5">
        <f t="shared" si="16"/>
        <v>-0.422984138792181</v>
      </c>
      <c r="T149" s="5">
        <f t="shared" si="17"/>
        <v>1</v>
      </c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</row>
    <row r="150" spans="1:37" ht="15" x14ac:dyDescent="0.25">
      <c r="A150" s="8">
        <v>1</v>
      </c>
      <c r="B150" s="8">
        <v>47</v>
      </c>
      <c r="C150" s="8">
        <v>1</v>
      </c>
      <c r="D150" s="8">
        <v>3</v>
      </c>
      <c r="E150" s="8">
        <v>108</v>
      </c>
      <c r="F150" s="8">
        <v>243</v>
      </c>
      <c r="G150" s="8">
        <v>0</v>
      </c>
      <c r="H150" s="8">
        <v>0</v>
      </c>
      <c r="I150" s="8">
        <v>152</v>
      </c>
      <c r="J150" s="8">
        <v>0</v>
      </c>
      <c r="K150" s="8">
        <v>0</v>
      </c>
      <c r="L150" s="8">
        <v>1</v>
      </c>
      <c r="M150" s="8">
        <v>0</v>
      </c>
      <c r="N150" s="8">
        <v>3</v>
      </c>
      <c r="O150" s="28">
        <f t="shared" si="12"/>
        <v>-2.7268082182401168</v>
      </c>
      <c r="P150" s="28">
        <f t="shared" si="13"/>
        <v>6.5427787970816706E-2</v>
      </c>
      <c r="Q150" s="28">
        <f t="shared" si="14"/>
        <v>6.140987564762939E-2</v>
      </c>
      <c r="R150" s="5">
        <f t="shared" si="15"/>
        <v>6.140987564762939E-2</v>
      </c>
      <c r="S150" s="5">
        <f t="shared" si="16"/>
        <v>-1.2117617820446849</v>
      </c>
      <c r="T150" s="5">
        <f t="shared" si="17"/>
        <v>1</v>
      </c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</row>
    <row r="151" spans="1:37" ht="15" x14ac:dyDescent="0.25">
      <c r="A151" s="8">
        <v>1</v>
      </c>
      <c r="B151" s="8">
        <v>57</v>
      </c>
      <c r="C151" s="8">
        <v>1</v>
      </c>
      <c r="D151" s="8">
        <v>4</v>
      </c>
      <c r="E151" s="8">
        <v>165</v>
      </c>
      <c r="F151" s="8">
        <v>289</v>
      </c>
      <c r="G151" s="8">
        <v>1</v>
      </c>
      <c r="H151" s="8">
        <v>2</v>
      </c>
      <c r="I151" s="8">
        <v>124</v>
      </c>
      <c r="J151" s="8">
        <v>0</v>
      </c>
      <c r="K151" s="8">
        <v>1</v>
      </c>
      <c r="L151" s="8">
        <v>2</v>
      </c>
      <c r="M151" s="8">
        <v>3</v>
      </c>
      <c r="N151" s="8">
        <v>7</v>
      </c>
      <c r="O151" s="28">
        <f t="shared" si="12"/>
        <v>5.3511199378429835</v>
      </c>
      <c r="P151" s="28">
        <f t="shared" si="13"/>
        <v>210.84429819768533</v>
      </c>
      <c r="Q151" s="28">
        <f t="shared" si="14"/>
        <v>0.99527955197044371</v>
      </c>
      <c r="R151" s="5">
        <f t="shared" si="15"/>
        <v>0.99527955197044371</v>
      </c>
      <c r="S151" s="5">
        <f t="shared" si="16"/>
        <v>-2.0549184239418514E-3</v>
      </c>
      <c r="T151" s="5">
        <f t="shared" si="17"/>
        <v>0</v>
      </c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</row>
    <row r="152" spans="1:37" ht="15" x14ac:dyDescent="0.25">
      <c r="A152" s="8">
        <v>0</v>
      </c>
      <c r="B152" s="8">
        <v>41</v>
      </c>
      <c r="C152" s="8">
        <v>1</v>
      </c>
      <c r="D152" s="8">
        <v>3</v>
      </c>
      <c r="E152" s="8">
        <v>112</v>
      </c>
      <c r="F152" s="8">
        <v>250</v>
      </c>
      <c r="G152" s="8">
        <v>0</v>
      </c>
      <c r="H152" s="8">
        <v>0</v>
      </c>
      <c r="I152" s="8">
        <v>179</v>
      </c>
      <c r="J152" s="8">
        <v>0</v>
      </c>
      <c r="K152" s="8">
        <v>0</v>
      </c>
      <c r="L152" s="8">
        <v>1</v>
      </c>
      <c r="M152" s="8">
        <v>0</v>
      </c>
      <c r="N152" s="8">
        <v>3</v>
      </c>
      <c r="O152" s="28">
        <f t="shared" si="12"/>
        <v>-3.0685992070631123</v>
      </c>
      <c r="P152" s="28">
        <f t="shared" si="13"/>
        <v>4.6486226848830227E-2</v>
      </c>
      <c r="Q152" s="28">
        <f t="shared" si="14"/>
        <v>4.4421250520237737E-2</v>
      </c>
      <c r="R152" s="5">
        <f t="shared" si="15"/>
        <v>0.95557874947976229</v>
      </c>
      <c r="S152" s="5">
        <f t="shared" si="16"/>
        <v>-1.9733516819077743E-2</v>
      </c>
      <c r="T152" s="5">
        <f t="shared" si="17"/>
        <v>1</v>
      </c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</row>
    <row r="153" spans="1:37" ht="15" x14ac:dyDescent="0.25">
      <c r="A153" s="8">
        <v>0</v>
      </c>
      <c r="B153" s="8">
        <v>45</v>
      </c>
      <c r="C153" s="8">
        <v>1</v>
      </c>
      <c r="D153" s="8">
        <v>2</v>
      </c>
      <c r="E153" s="8">
        <v>128</v>
      </c>
      <c r="F153" s="8">
        <v>308</v>
      </c>
      <c r="G153" s="8">
        <v>0</v>
      </c>
      <c r="H153" s="8">
        <v>2</v>
      </c>
      <c r="I153" s="8">
        <v>170</v>
      </c>
      <c r="J153" s="8">
        <v>0</v>
      </c>
      <c r="K153" s="8">
        <v>0</v>
      </c>
      <c r="L153" s="8">
        <v>1</v>
      </c>
      <c r="M153" s="8">
        <v>0</v>
      </c>
      <c r="N153" s="8">
        <v>3</v>
      </c>
      <c r="O153" s="28">
        <f t="shared" si="12"/>
        <v>-2.3504088900866531</v>
      </c>
      <c r="P153" s="28">
        <f t="shared" si="13"/>
        <v>9.5330174681898472E-2</v>
      </c>
      <c r="Q153" s="28">
        <f t="shared" si="14"/>
        <v>8.7033277166479864E-2</v>
      </c>
      <c r="R153" s="5">
        <f t="shared" si="15"/>
        <v>0.91296672283352009</v>
      </c>
      <c r="S153" s="5">
        <f t="shared" si="16"/>
        <v>-3.954505198723228E-2</v>
      </c>
      <c r="T153" s="5">
        <f t="shared" si="17"/>
        <v>1</v>
      </c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</row>
    <row r="154" spans="1:37" ht="15" x14ac:dyDescent="0.25">
      <c r="A154" s="8">
        <v>0</v>
      </c>
      <c r="B154" s="8">
        <v>60</v>
      </c>
      <c r="C154" s="8">
        <v>0</v>
      </c>
      <c r="D154" s="8">
        <v>3</v>
      </c>
      <c r="E154" s="8">
        <v>102</v>
      </c>
      <c r="F154" s="8">
        <v>318</v>
      </c>
      <c r="G154" s="8">
        <v>0</v>
      </c>
      <c r="H154" s="8">
        <v>0</v>
      </c>
      <c r="I154" s="8">
        <v>160</v>
      </c>
      <c r="J154" s="8">
        <v>0</v>
      </c>
      <c r="K154" s="8">
        <v>0</v>
      </c>
      <c r="L154" s="8">
        <v>1</v>
      </c>
      <c r="M154" s="8">
        <v>1</v>
      </c>
      <c r="N154" s="8">
        <v>3</v>
      </c>
      <c r="O154" s="28">
        <f t="shared" si="12"/>
        <v>-2.8901756693700857</v>
      </c>
      <c r="P154" s="28">
        <f t="shared" si="13"/>
        <v>5.5566450430705037E-2</v>
      </c>
      <c r="Q154" s="28">
        <f t="shared" si="14"/>
        <v>5.2641357072339828E-2</v>
      </c>
      <c r="R154" s="5">
        <f t="shared" si="15"/>
        <v>0.94735864292766014</v>
      </c>
      <c r="S154" s="5">
        <f t="shared" si="16"/>
        <v>-2.3485578379803081E-2</v>
      </c>
      <c r="T154" s="5">
        <f t="shared" si="17"/>
        <v>0</v>
      </c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</row>
    <row r="155" spans="1:37" ht="15" x14ac:dyDescent="0.25">
      <c r="A155" s="8">
        <v>0</v>
      </c>
      <c r="B155" s="8">
        <v>52</v>
      </c>
      <c r="C155" s="8">
        <v>1</v>
      </c>
      <c r="D155" s="8">
        <v>1</v>
      </c>
      <c r="E155" s="8">
        <v>152</v>
      </c>
      <c r="F155" s="8">
        <v>298</v>
      </c>
      <c r="G155" s="8">
        <v>1</v>
      </c>
      <c r="H155" s="8">
        <v>0</v>
      </c>
      <c r="I155" s="8">
        <v>178</v>
      </c>
      <c r="J155" s="8">
        <v>0</v>
      </c>
      <c r="K155" s="8">
        <v>1.2</v>
      </c>
      <c r="L155" s="8">
        <v>2</v>
      </c>
      <c r="M155" s="8">
        <v>0</v>
      </c>
      <c r="N155" s="8">
        <v>7</v>
      </c>
      <c r="O155" s="28">
        <f t="shared" si="12"/>
        <v>-1.9332584384863649</v>
      </c>
      <c r="P155" s="28">
        <f t="shared" si="13"/>
        <v>0.14467601172100195</v>
      </c>
      <c r="Q155" s="28">
        <f t="shared" si="14"/>
        <v>0.12639035870375573</v>
      </c>
      <c r="R155" s="5">
        <f t="shared" si="15"/>
        <v>0.8736096412962443</v>
      </c>
      <c r="S155" s="5">
        <f t="shared" si="16"/>
        <v>-5.8682581669269172E-2</v>
      </c>
      <c r="T155" s="5">
        <f t="shared" si="17"/>
        <v>1</v>
      </c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</row>
    <row r="156" spans="1:37" ht="15" x14ac:dyDescent="0.25">
      <c r="A156" s="8">
        <v>0</v>
      </c>
      <c r="B156" s="8">
        <v>42</v>
      </c>
      <c r="C156" s="8">
        <v>0</v>
      </c>
      <c r="D156" s="8">
        <v>4</v>
      </c>
      <c r="E156" s="8">
        <v>102</v>
      </c>
      <c r="F156" s="8">
        <v>265</v>
      </c>
      <c r="G156" s="8">
        <v>0</v>
      </c>
      <c r="H156" s="8">
        <v>2</v>
      </c>
      <c r="I156" s="8">
        <v>122</v>
      </c>
      <c r="J156" s="8">
        <v>0</v>
      </c>
      <c r="K156" s="8">
        <v>0.6</v>
      </c>
      <c r="L156" s="8">
        <v>2</v>
      </c>
      <c r="M156" s="8">
        <v>0</v>
      </c>
      <c r="N156" s="8">
        <v>3</v>
      </c>
      <c r="O156" s="28">
        <f t="shared" si="12"/>
        <v>-1.5978995765962152</v>
      </c>
      <c r="P156" s="28">
        <f t="shared" si="13"/>
        <v>0.20232103183952982</v>
      </c>
      <c r="Q156" s="28">
        <f t="shared" si="14"/>
        <v>0.16827538276526879</v>
      </c>
      <c r="R156" s="5">
        <f t="shared" si="15"/>
        <v>0.83172461723473123</v>
      </c>
      <c r="S156" s="5">
        <f t="shared" si="16"/>
        <v>-8.0020444156885931E-2</v>
      </c>
      <c r="T156" s="5">
        <f t="shared" si="17"/>
        <v>0</v>
      </c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</row>
    <row r="157" spans="1:37" ht="15" x14ac:dyDescent="0.25">
      <c r="A157" s="8">
        <v>0</v>
      </c>
      <c r="B157" s="8">
        <v>67</v>
      </c>
      <c r="C157" s="8">
        <v>0</v>
      </c>
      <c r="D157" s="8">
        <v>3</v>
      </c>
      <c r="E157" s="8">
        <v>115</v>
      </c>
      <c r="F157" s="8">
        <v>564</v>
      </c>
      <c r="G157" s="8">
        <v>0</v>
      </c>
      <c r="H157" s="8">
        <v>2</v>
      </c>
      <c r="I157" s="8">
        <v>160</v>
      </c>
      <c r="J157" s="8">
        <v>0</v>
      </c>
      <c r="K157" s="8">
        <v>1.6</v>
      </c>
      <c r="L157" s="8">
        <v>2</v>
      </c>
      <c r="M157" s="8">
        <v>0</v>
      </c>
      <c r="N157" s="8">
        <v>7</v>
      </c>
      <c r="O157" s="28">
        <f t="shared" si="12"/>
        <v>0.11630334551457278</v>
      </c>
      <c r="P157" s="28">
        <f t="shared" si="13"/>
        <v>1.1233365795673735</v>
      </c>
      <c r="Q157" s="28">
        <f t="shared" si="14"/>
        <v>0.52904310620233908</v>
      </c>
      <c r="R157" s="5">
        <f t="shared" si="15"/>
        <v>0.47095689379766092</v>
      </c>
      <c r="S157" s="5">
        <f t="shared" si="16"/>
        <v>-0.32701884158136435</v>
      </c>
      <c r="T157" s="5">
        <f t="shared" si="17"/>
        <v>0</v>
      </c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</row>
    <row r="158" spans="1:37" ht="15" x14ac:dyDescent="0.25">
      <c r="A158" s="8">
        <v>1</v>
      </c>
      <c r="B158" s="8">
        <v>55</v>
      </c>
      <c r="C158" s="8">
        <v>1</v>
      </c>
      <c r="D158" s="8">
        <v>4</v>
      </c>
      <c r="E158" s="8">
        <v>160</v>
      </c>
      <c r="F158" s="8">
        <v>289</v>
      </c>
      <c r="G158" s="8">
        <v>0</v>
      </c>
      <c r="H158" s="8">
        <v>2</v>
      </c>
      <c r="I158" s="8">
        <v>145</v>
      </c>
      <c r="J158" s="8">
        <v>1</v>
      </c>
      <c r="K158" s="8">
        <v>0.8</v>
      </c>
      <c r="L158" s="8">
        <v>2</v>
      </c>
      <c r="M158" s="8">
        <v>1</v>
      </c>
      <c r="N158" s="8">
        <v>7</v>
      </c>
      <c r="O158" s="28">
        <f t="shared" si="12"/>
        <v>4.1885579113852769</v>
      </c>
      <c r="P158" s="28">
        <f t="shared" si="13"/>
        <v>65.927648863409388</v>
      </c>
      <c r="Q158" s="28">
        <f t="shared" si="14"/>
        <v>0.98505849201365392</v>
      </c>
      <c r="R158" s="5">
        <f t="shared" si="15"/>
        <v>0.98505849201365392</v>
      </c>
      <c r="S158" s="5">
        <f t="shared" si="16"/>
        <v>-6.5379806652793694E-3</v>
      </c>
      <c r="T158" s="5">
        <f t="shared" si="17"/>
        <v>0</v>
      </c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</row>
    <row r="159" spans="1:37" ht="15" x14ac:dyDescent="0.25">
      <c r="A159" s="8">
        <v>1</v>
      </c>
      <c r="B159" s="8">
        <v>64</v>
      </c>
      <c r="C159" s="8">
        <v>1</v>
      </c>
      <c r="D159" s="8">
        <v>4</v>
      </c>
      <c r="E159" s="8">
        <v>120</v>
      </c>
      <c r="F159" s="8">
        <v>246</v>
      </c>
      <c r="G159" s="8">
        <v>0</v>
      </c>
      <c r="H159" s="8">
        <v>2</v>
      </c>
      <c r="I159" s="8">
        <v>96</v>
      </c>
      <c r="J159" s="8">
        <v>1</v>
      </c>
      <c r="K159" s="8">
        <v>2.2000000000000002</v>
      </c>
      <c r="L159" s="8">
        <v>3</v>
      </c>
      <c r="M159" s="8">
        <v>1</v>
      </c>
      <c r="N159" s="8">
        <v>3</v>
      </c>
      <c r="O159" s="28">
        <f t="shared" si="12"/>
        <v>3.4376250656930667</v>
      </c>
      <c r="P159" s="28">
        <f t="shared" si="13"/>
        <v>31.112979073943354</v>
      </c>
      <c r="Q159" s="28">
        <f t="shared" si="14"/>
        <v>0.96885994296270683</v>
      </c>
      <c r="R159" s="5">
        <f t="shared" si="15"/>
        <v>0.96885994296270683</v>
      </c>
      <c r="S159" s="5">
        <f t="shared" si="16"/>
        <v>-1.373899941435016E-2</v>
      </c>
      <c r="T159" s="5">
        <f t="shared" si="17"/>
        <v>1</v>
      </c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</row>
    <row r="160" spans="1:37" ht="15" x14ac:dyDescent="0.25">
      <c r="A160" s="8">
        <v>1</v>
      </c>
      <c r="B160" s="8">
        <v>70</v>
      </c>
      <c r="C160" s="8">
        <v>1</v>
      </c>
      <c r="D160" s="8">
        <v>4</v>
      </c>
      <c r="E160" s="8">
        <v>130</v>
      </c>
      <c r="F160" s="8">
        <v>322</v>
      </c>
      <c r="G160" s="8">
        <v>0</v>
      </c>
      <c r="H160" s="8">
        <v>2</v>
      </c>
      <c r="I160" s="8">
        <v>109</v>
      </c>
      <c r="J160" s="8">
        <v>0</v>
      </c>
      <c r="K160" s="8">
        <v>2.4</v>
      </c>
      <c r="L160" s="8">
        <v>2</v>
      </c>
      <c r="M160" s="8">
        <v>3</v>
      </c>
      <c r="N160" s="8">
        <v>3</v>
      </c>
      <c r="O160" s="28">
        <f t="shared" si="12"/>
        <v>4.7928046475636501</v>
      </c>
      <c r="P160" s="28">
        <f t="shared" si="13"/>
        <v>120.63924519455635</v>
      </c>
      <c r="Q160" s="28">
        <f t="shared" si="14"/>
        <v>0.99177896904571761</v>
      </c>
      <c r="R160" s="5">
        <f t="shared" si="15"/>
        <v>0.99177896904571761</v>
      </c>
      <c r="S160" s="5">
        <f t="shared" si="16"/>
        <v>-3.5851052849107949E-3</v>
      </c>
      <c r="T160" s="5">
        <f t="shared" si="17"/>
        <v>1</v>
      </c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</row>
    <row r="161" spans="1:37" ht="15" x14ac:dyDescent="0.25">
      <c r="A161" s="8">
        <v>1</v>
      </c>
      <c r="B161" s="8">
        <v>51</v>
      </c>
      <c r="C161" s="8">
        <v>1</v>
      </c>
      <c r="D161" s="8">
        <v>4</v>
      </c>
      <c r="E161" s="8">
        <v>140</v>
      </c>
      <c r="F161" s="8">
        <v>299</v>
      </c>
      <c r="G161" s="8">
        <v>0</v>
      </c>
      <c r="H161" s="8">
        <v>0</v>
      </c>
      <c r="I161" s="8">
        <v>173</v>
      </c>
      <c r="J161" s="8">
        <v>1</v>
      </c>
      <c r="K161" s="8">
        <v>1.6</v>
      </c>
      <c r="L161" s="8">
        <v>1</v>
      </c>
      <c r="M161" s="8">
        <v>0</v>
      </c>
      <c r="N161" s="8">
        <v>7</v>
      </c>
      <c r="O161" s="28">
        <f t="shared" si="12"/>
        <v>1.1054411316631709</v>
      </c>
      <c r="P161" s="28">
        <f t="shared" si="13"/>
        <v>3.0205566381274105</v>
      </c>
      <c r="Q161" s="28">
        <f t="shared" si="14"/>
        <v>0.75127822090183172</v>
      </c>
      <c r="R161" s="5">
        <f t="shared" si="15"/>
        <v>0.75127822090183172</v>
      </c>
      <c r="S161" s="5">
        <f t="shared" si="16"/>
        <v>-0.12419920091034579</v>
      </c>
      <c r="T161" s="5">
        <f t="shared" si="17"/>
        <v>1</v>
      </c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</row>
    <row r="162" spans="1:37" ht="15" x14ac:dyDescent="0.25">
      <c r="A162" s="8">
        <v>1</v>
      </c>
      <c r="B162" s="8">
        <v>58</v>
      </c>
      <c r="C162" s="8">
        <v>1</v>
      </c>
      <c r="D162" s="8">
        <v>4</v>
      </c>
      <c r="E162" s="8">
        <v>125</v>
      </c>
      <c r="F162" s="8">
        <v>300</v>
      </c>
      <c r="G162" s="8">
        <v>0</v>
      </c>
      <c r="H162" s="8">
        <v>2</v>
      </c>
      <c r="I162" s="8">
        <v>171</v>
      </c>
      <c r="J162" s="8">
        <v>0</v>
      </c>
      <c r="K162" s="8">
        <v>0</v>
      </c>
      <c r="L162" s="8">
        <v>1</v>
      </c>
      <c r="M162" s="8">
        <v>2</v>
      </c>
      <c r="N162" s="8">
        <v>7</v>
      </c>
      <c r="O162" s="28">
        <f t="shared" si="12"/>
        <v>2.3958321803810643</v>
      </c>
      <c r="P162" s="28">
        <f t="shared" si="13"/>
        <v>10.977329377245756</v>
      </c>
      <c r="Q162" s="28">
        <f t="shared" si="14"/>
        <v>0.91650893379455889</v>
      </c>
      <c r="R162" s="5">
        <f t="shared" si="15"/>
        <v>0.91650893379455889</v>
      </c>
      <c r="S162" s="5">
        <f t="shared" si="16"/>
        <v>-3.7863297337040677E-2</v>
      </c>
      <c r="T162" s="5">
        <f t="shared" si="17"/>
        <v>1</v>
      </c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</row>
    <row r="163" spans="1:37" ht="15" x14ac:dyDescent="0.25">
      <c r="A163" s="8">
        <v>1</v>
      </c>
      <c r="B163" s="8">
        <v>60</v>
      </c>
      <c r="C163" s="8">
        <v>1</v>
      </c>
      <c r="D163" s="8">
        <v>4</v>
      </c>
      <c r="E163" s="8">
        <v>140</v>
      </c>
      <c r="F163" s="8">
        <v>293</v>
      </c>
      <c r="G163" s="8">
        <v>0</v>
      </c>
      <c r="H163" s="8">
        <v>2</v>
      </c>
      <c r="I163" s="8">
        <v>170</v>
      </c>
      <c r="J163" s="8">
        <v>0</v>
      </c>
      <c r="K163" s="8">
        <v>1.2</v>
      </c>
      <c r="L163" s="8">
        <v>2</v>
      </c>
      <c r="M163" s="8">
        <v>2</v>
      </c>
      <c r="N163" s="8">
        <v>7</v>
      </c>
      <c r="O163" s="28">
        <f t="shared" si="12"/>
        <v>3.5807912073403658</v>
      </c>
      <c r="P163" s="28">
        <f t="shared" si="13"/>
        <v>35.90193548744854</v>
      </c>
      <c r="Q163" s="28">
        <f t="shared" si="14"/>
        <v>0.97290115039250091</v>
      </c>
      <c r="R163" s="5">
        <f t="shared" si="15"/>
        <v>0.97290115039250091</v>
      </c>
      <c r="S163" s="5">
        <f t="shared" si="16"/>
        <v>-1.1931283082007816E-2</v>
      </c>
      <c r="T163" s="5">
        <f t="shared" si="17"/>
        <v>1</v>
      </c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</row>
    <row r="164" spans="1:37" ht="15" x14ac:dyDescent="0.25">
      <c r="A164" s="8">
        <v>0</v>
      </c>
      <c r="B164" s="8">
        <v>68</v>
      </c>
      <c r="C164" s="8">
        <v>1</v>
      </c>
      <c r="D164" s="8">
        <v>3</v>
      </c>
      <c r="E164" s="8">
        <v>118</v>
      </c>
      <c r="F164" s="8">
        <v>277</v>
      </c>
      <c r="G164" s="8">
        <v>0</v>
      </c>
      <c r="H164" s="8">
        <v>0</v>
      </c>
      <c r="I164" s="8">
        <v>151</v>
      </c>
      <c r="J164" s="8">
        <v>0</v>
      </c>
      <c r="K164" s="8">
        <v>1</v>
      </c>
      <c r="L164" s="8">
        <v>1</v>
      </c>
      <c r="M164" s="8">
        <v>1</v>
      </c>
      <c r="N164" s="8">
        <v>7</v>
      </c>
      <c r="O164" s="28">
        <f t="shared" si="12"/>
        <v>0.29768210590648181</v>
      </c>
      <c r="P164" s="28">
        <f t="shared" si="13"/>
        <v>1.3467336011667932</v>
      </c>
      <c r="Q164" s="28">
        <f t="shared" si="14"/>
        <v>0.57387579080011419</v>
      </c>
      <c r="R164" s="5">
        <f t="shared" si="15"/>
        <v>0.42612420919988581</v>
      </c>
      <c r="S164" s="5">
        <f t="shared" si="16"/>
        <v>-0.37046379172478799</v>
      </c>
      <c r="T164" s="5">
        <f t="shared" si="17"/>
        <v>1</v>
      </c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</row>
    <row r="165" spans="1:37" ht="15" x14ac:dyDescent="0.25">
      <c r="A165" s="8">
        <v>0</v>
      </c>
      <c r="B165" s="8">
        <v>46</v>
      </c>
      <c r="C165" s="8">
        <v>1</v>
      </c>
      <c r="D165" s="8">
        <v>2</v>
      </c>
      <c r="E165" s="8">
        <v>101</v>
      </c>
      <c r="F165" s="8">
        <v>197</v>
      </c>
      <c r="G165" s="8">
        <v>1</v>
      </c>
      <c r="H165" s="8">
        <v>0</v>
      </c>
      <c r="I165" s="8">
        <v>156</v>
      </c>
      <c r="J165" s="8">
        <v>0</v>
      </c>
      <c r="K165" s="8">
        <v>0</v>
      </c>
      <c r="L165" s="8">
        <v>1</v>
      </c>
      <c r="M165" s="8">
        <v>0</v>
      </c>
      <c r="N165" s="8">
        <v>7</v>
      </c>
      <c r="O165" s="28">
        <f t="shared" si="12"/>
        <v>-3.4155161503681573</v>
      </c>
      <c r="P165" s="28">
        <f t="shared" si="13"/>
        <v>3.2859441910658933E-2</v>
      </c>
      <c r="Q165" s="28">
        <f t="shared" si="14"/>
        <v>3.181404998329021E-2</v>
      </c>
      <c r="R165" s="5">
        <f t="shared" si="15"/>
        <v>0.96818595001670982</v>
      </c>
      <c r="S165" s="5">
        <f t="shared" si="16"/>
        <v>-1.4041223982350144E-2</v>
      </c>
      <c r="T165" s="5">
        <f t="shared" si="17"/>
        <v>1</v>
      </c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</row>
    <row r="166" spans="1:37" ht="15" x14ac:dyDescent="0.25">
      <c r="A166" s="8">
        <v>1</v>
      </c>
      <c r="B166" s="8">
        <v>77</v>
      </c>
      <c r="C166" s="8">
        <v>1</v>
      </c>
      <c r="D166" s="8">
        <v>4</v>
      </c>
      <c r="E166" s="8">
        <v>125</v>
      </c>
      <c r="F166" s="8">
        <v>304</v>
      </c>
      <c r="G166" s="8">
        <v>0</v>
      </c>
      <c r="H166" s="8">
        <v>2</v>
      </c>
      <c r="I166" s="8">
        <v>162</v>
      </c>
      <c r="J166" s="8">
        <v>1</v>
      </c>
      <c r="K166" s="8">
        <v>0</v>
      </c>
      <c r="L166" s="8">
        <v>1</v>
      </c>
      <c r="M166" s="8">
        <v>3</v>
      </c>
      <c r="N166" s="8">
        <v>3</v>
      </c>
      <c r="O166" s="28">
        <f t="shared" si="12"/>
        <v>3.1509274321592811</v>
      </c>
      <c r="P166" s="28">
        <f t="shared" si="13"/>
        <v>23.357717236838837</v>
      </c>
      <c r="Q166" s="28">
        <f t="shared" si="14"/>
        <v>0.95894524966044059</v>
      </c>
      <c r="R166" s="5">
        <f t="shared" si="15"/>
        <v>0.95894524966044059</v>
      </c>
      <c r="S166" s="5">
        <f t="shared" si="16"/>
        <v>-1.8206187875351033E-2</v>
      </c>
      <c r="T166" s="5">
        <f t="shared" si="17"/>
        <v>1</v>
      </c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</row>
    <row r="167" spans="1:37" ht="15" x14ac:dyDescent="0.25">
      <c r="A167" s="8">
        <v>0</v>
      </c>
      <c r="B167" s="8">
        <v>54</v>
      </c>
      <c r="C167" s="8">
        <v>0</v>
      </c>
      <c r="D167" s="8">
        <v>3</v>
      </c>
      <c r="E167" s="8">
        <v>110</v>
      </c>
      <c r="F167" s="8">
        <v>214</v>
      </c>
      <c r="G167" s="8">
        <v>0</v>
      </c>
      <c r="H167" s="8">
        <v>0</v>
      </c>
      <c r="I167" s="8">
        <v>158</v>
      </c>
      <c r="J167" s="8">
        <v>0</v>
      </c>
      <c r="K167" s="8">
        <v>1.6</v>
      </c>
      <c r="L167" s="8">
        <v>2</v>
      </c>
      <c r="M167" s="8">
        <v>0</v>
      </c>
      <c r="N167" s="8">
        <v>3</v>
      </c>
      <c r="O167" s="28">
        <f t="shared" si="12"/>
        <v>-3.3929049693323581</v>
      </c>
      <c r="P167" s="28">
        <f t="shared" si="13"/>
        <v>3.3610896320499468E-2</v>
      </c>
      <c r="Q167" s="28">
        <f t="shared" si="14"/>
        <v>3.2517939236272803E-2</v>
      </c>
      <c r="R167" s="5">
        <f t="shared" si="15"/>
        <v>0.96748206076372723</v>
      </c>
      <c r="S167" s="5">
        <f t="shared" si="16"/>
        <v>-1.4357079005229447E-2</v>
      </c>
      <c r="T167" s="5">
        <f t="shared" si="17"/>
        <v>1</v>
      </c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</row>
    <row r="168" spans="1:37" ht="15" x14ac:dyDescent="0.25">
      <c r="A168" s="8">
        <v>0</v>
      </c>
      <c r="B168" s="8">
        <v>58</v>
      </c>
      <c r="C168" s="8">
        <v>0</v>
      </c>
      <c r="D168" s="8">
        <v>4</v>
      </c>
      <c r="E168" s="8">
        <v>100</v>
      </c>
      <c r="F168" s="8">
        <v>248</v>
      </c>
      <c r="G168" s="8">
        <v>0</v>
      </c>
      <c r="H168" s="8">
        <v>2</v>
      </c>
      <c r="I168" s="8">
        <v>122</v>
      </c>
      <c r="J168" s="8">
        <v>0</v>
      </c>
      <c r="K168" s="8">
        <v>1</v>
      </c>
      <c r="L168" s="8">
        <v>2</v>
      </c>
      <c r="M168" s="8">
        <v>0</v>
      </c>
      <c r="N168" s="8">
        <v>3</v>
      </c>
      <c r="O168" s="28">
        <f t="shared" si="12"/>
        <v>-1.8584739794368517</v>
      </c>
      <c r="P168" s="28">
        <f t="shared" si="13"/>
        <v>0.15591037135573987</v>
      </c>
      <c r="Q168" s="28">
        <f t="shared" si="14"/>
        <v>0.13488102124464571</v>
      </c>
      <c r="R168" s="5">
        <f t="shared" si="15"/>
        <v>0.86511897875535426</v>
      </c>
      <c r="S168" s="5">
        <f t="shared" si="16"/>
        <v>-6.2924160438572754E-2</v>
      </c>
      <c r="T168" s="5">
        <f t="shared" si="17"/>
        <v>1</v>
      </c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</row>
    <row r="169" spans="1:37" ht="15" x14ac:dyDescent="0.25">
      <c r="A169" s="8">
        <v>0</v>
      </c>
      <c r="B169" s="8">
        <v>48</v>
      </c>
      <c r="C169" s="8">
        <v>1</v>
      </c>
      <c r="D169" s="8">
        <v>3</v>
      </c>
      <c r="E169" s="8">
        <v>124</v>
      </c>
      <c r="F169" s="8">
        <v>255</v>
      </c>
      <c r="G169" s="8">
        <v>1</v>
      </c>
      <c r="H169" s="8">
        <v>0</v>
      </c>
      <c r="I169" s="8">
        <v>175</v>
      </c>
      <c r="J169" s="8">
        <v>0</v>
      </c>
      <c r="K169" s="8">
        <v>0</v>
      </c>
      <c r="L169" s="8">
        <v>1</v>
      </c>
      <c r="M169" s="8">
        <v>2</v>
      </c>
      <c r="N169" s="8">
        <v>3</v>
      </c>
      <c r="O169" s="28">
        <f t="shared" si="12"/>
        <v>-1.2580797003109039</v>
      </c>
      <c r="P169" s="28">
        <f t="shared" si="13"/>
        <v>0.28419925056792794</v>
      </c>
      <c r="Q169" s="28">
        <f t="shared" si="14"/>
        <v>0.22130463823448182</v>
      </c>
      <c r="R169" s="5">
        <f t="shared" si="15"/>
        <v>0.77869536176551812</v>
      </c>
      <c r="S169" s="5">
        <f t="shared" si="16"/>
        <v>-0.1086324121352894</v>
      </c>
      <c r="T169" s="5">
        <f t="shared" si="17"/>
        <v>0</v>
      </c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</row>
    <row r="170" spans="1:37" ht="15" x14ac:dyDescent="0.25">
      <c r="A170" s="8">
        <v>0</v>
      </c>
      <c r="B170" s="8">
        <v>57</v>
      </c>
      <c r="C170" s="8">
        <v>1</v>
      </c>
      <c r="D170" s="8">
        <v>4</v>
      </c>
      <c r="E170" s="8">
        <v>132</v>
      </c>
      <c r="F170" s="8">
        <v>207</v>
      </c>
      <c r="G170" s="8">
        <v>0</v>
      </c>
      <c r="H170" s="8">
        <v>0</v>
      </c>
      <c r="I170" s="8">
        <v>168</v>
      </c>
      <c r="J170" s="8">
        <v>1</v>
      </c>
      <c r="K170" s="8">
        <v>0</v>
      </c>
      <c r="L170" s="8">
        <v>1</v>
      </c>
      <c r="M170" s="8">
        <v>0</v>
      </c>
      <c r="N170" s="8">
        <v>7</v>
      </c>
      <c r="O170" s="28">
        <f t="shared" si="12"/>
        <v>7.6141529097992766E-2</v>
      </c>
      <c r="P170" s="28">
        <f t="shared" si="13"/>
        <v>1.0791152895637544</v>
      </c>
      <c r="Q170" s="28">
        <f t="shared" si="14"/>
        <v>0.51902619108254333</v>
      </c>
      <c r="R170" s="5">
        <f t="shared" si="15"/>
        <v>0.48097380891745667</v>
      </c>
      <c r="S170" s="5">
        <f t="shared" si="16"/>
        <v>-0.31787857217568383</v>
      </c>
      <c r="T170" s="5">
        <f t="shared" si="17"/>
        <v>1</v>
      </c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</row>
    <row r="171" spans="1:37" ht="15" x14ac:dyDescent="0.25">
      <c r="A171" s="8">
        <v>0</v>
      </c>
      <c r="B171" s="8">
        <v>54</v>
      </c>
      <c r="C171" s="8">
        <v>0</v>
      </c>
      <c r="D171" s="8">
        <v>2</v>
      </c>
      <c r="E171" s="8">
        <v>132</v>
      </c>
      <c r="F171" s="8">
        <v>288</v>
      </c>
      <c r="G171" s="8">
        <v>1</v>
      </c>
      <c r="H171" s="8">
        <v>2</v>
      </c>
      <c r="I171" s="8">
        <v>159</v>
      </c>
      <c r="J171" s="8">
        <v>1</v>
      </c>
      <c r="K171" s="8">
        <v>0</v>
      </c>
      <c r="L171" s="8">
        <v>1</v>
      </c>
      <c r="M171" s="8">
        <v>1</v>
      </c>
      <c r="N171" s="8">
        <v>3</v>
      </c>
      <c r="O171" s="28">
        <f t="shared" si="12"/>
        <v>-2.3944517900267384</v>
      </c>
      <c r="P171" s="28">
        <f t="shared" si="13"/>
        <v>9.1222674397229003E-2</v>
      </c>
      <c r="Q171" s="28">
        <f t="shared" si="14"/>
        <v>8.3596754848975899E-2</v>
      </c>
      <c r="R171" s="5">
        <f t="shared" si="15"/>
        <v>0.91640324515102412</v>
      </c>
      <c r="S171" s="5">
        <f t="shared" si="16"/>
        <v>-3.7913381563950299E-2</v>
      </c>
      <c r="T171" s="5">
        <f t="shared" si="17"/>
        <v>0</v>
      </c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</row>
    <row r="172" spans="1:37" ht="15" x14ac:dyDescent="0.25">
      <c r="A172" s="8">
        <v>1</v>
      </c>
      <c r="B172" s="8">
        <v>35</v>
      </c>
      <c r="C172" s="8">
        <v>1</v>
      </c>
      <c r="D172" s="8">
        <v>4</v>
      </c>
      <c r="E172" s="8">
        <v>126</v>
      </c>
      <c r="F172" s="8">
        <v>282</v>
      </c>
      <c r="G172" s="8">
        <v>0</v>
      </c>
      <c r="H172" s="8">
        <v>2</v>
      </c>
      <c r="I172" s="8">
        <v>156</v>
      </c>
      <c r="J172" s="8">
        <v>1</v>
      </c>
      <c r="K172" s="8">
        <v>0</v>
      </c>
      <c r="L172" s="8">
        <v>1</v>
      </c>
      <c r="M172" s="8">
        <v>0</v>
      </c>
      <c r="N172" s="8">
        <v>7</v>
      </c>
      <c r="O172" s="28">
        <f t="shared" si="12"/>
        <v>1.3562438620998813</v>
      </c>
      <c r="P172" s="28">
        <f t="shared" si="13"/>
        <v>3.8815861129498486</v>
      </c>
      <c r="Q172" s="28">
        <f t="shared" si="14"/>
        <v>0.79514854867617613</v>
      </c>
      <c r="R172" s="5">
        <f t="shared" si="15"/>
        <v>0.79514854867617613</v>
      </c>
      <c r="S172" s="5">
        <f t="shared" si="16"/>
        <v>-9.9551729401666858E-2</v>
      </c>
      <c r="T172" s="5">
        <f t="shared" si="17"/>
        <v>1</v>
      </c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</row>
    <row r="173" spans="1:37" ht="15" x14ac:dyDescent="0.25">
      <c r="A173" s="8">
        <v>0</v>
      </c>
      <c r="B173" s="8">
        <v>45</v>
      </c>
      <c r="C173" s="8">
        <v>0</v>
      </c>
      <c r="D173" s="8">
        <v>2</v>
      </c>
      <c r="E173" s="8">
        <v>112</v>
      </c>
      <c r="F173" s="8">
        <v>160</v>
      </c>
      <c r="G173" s="8">
        <v>0</v>
      </c>
      <c r="H173" s="8">
        <v>0</v>
      </c>
      <c r="I173" s="8">
        <v>138</v>
      </c>
      <c r="J173" s="8">
        <v>0</v>
      </c>
      <c r="K173" s="8">
        <v>0</v>
      </c>
      <c r="L173" s="8">
        <v>2</v>
      </c>
      <c r="M173" s="8">
        <v>0</v>
      </c>
      <c r="N173" s="8">
        <v>3</v>
      </c>
      <c r="O173" s="28">
        <f t="shared" si="12"/>
        <v>-4.0455702251270278</v>
      </c>
      <c r="P173" s="28">
        <f t="shared" si="13"/>
        <v>1.7499723028390545E-2</v>
      </c>
      <c r="Q173" s="28">
        <f t="shared" si="14"/>
        <v>1.7198749672683953E-2</v>
      </c>
      <c r="R173" s="5">
        <f t="shared" si="15"/>
        <v>0.98280125032731602</v>
      </c>
      <c r="S173" s="5">
        <f t="shared" si="16"/>
        <v>-7.5342996788222748E-3</v>
      </c>
      <c r="T173" s="5">
        <f t="shared" si="17"/>
        <v>1</v>
      </c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</row>
    <row r="174" spans="1:37" ht="15" x14ac:dyDescent="0.25">
      <c r="A174" s="8">
        <v>1</v>
      </c>
      <c r="B174" s="8">
        <v>70</v>
      </c>
      <c r="C174" s="8">
        <v>1</v>
      </c>
      <c r="D174" s="8">
        <v>3</v>
      </c>
      <c r="E174" s="8">
        <v>160</v>
      </c>
      <c r="F174" s="8">
        <v>269</v>
      </c>
      <c r="G174" s="8">
        <v>0</v>
      </c>
      <c r="H174" s="8">
        <v>0</v>
      </c>
      <c r="I174" s="8">
        <v>112</v>
      </c>
      <c r="J174" s="8">
        <v>1</v>
      </c>
      <c r="K174" s="8">
        <v>2.9</v>
      </c>
      <c r="L174" s="8">
        <v>2</v>
      </c>
      <c r="M174" s="8">
        <v>1</v>
      </c>
      <c r="N174" s="8">
        <v>7</v>
      </c>
      <c r="O174" s="28">
        <f t="shared" si="12"/>
        <v>4.0113477332986713</v>
      </c>
      <c r="P174" s="28">
        <f t="shared" si="13"/>
        <v>55.221243943722712</v>
      </c>
      <c r="Q174" s="28">
        <f t="shared" si="14"/>
        <v>0.98221312923988313</v>
      </c>
      <c r="R174" s="5">
        <f t="shared" si="15"/>
        <v>0.98221312923988313</v>
      </c>
      <c r="S174" s="5">
        <f t="shared" si="16"/>
        <v>-7.7942649526091439E-3</v>
      </c>
      <c r="T174" s="5">
        <f t="shared" si="17"/>
        <v>1</v>
      </c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</row>
    <row r="175" spans="1:37" ht="15" x14ac:dyDescent="0.25">
      <c r="A175" s="8">
        <v>0</v>
      </c>
      <c r="B175" s="8">
        <v>53</v>
      </c>
      <c r="C175" s="8">
        <v>1</v>
      </c>
      <c r="D175" s="8">
        <v>4</v>
      </c>
      <c r="E175" s="8">
        <v>142</v>
      </c>
      <c r="F175" s="8">
        <v>226</v>
      </c>
      <c r="G175" s="8">
        <v>0</v>
      </c>
      <c r="H175" s="8">
        <v>2</v>
      </c>
      <c r="I175" s="8">
        <v>111</v>
      </c>
      <c r="J175" s="8">
        <v>1</v>
      </c>
      <c r="K175" s="8">
        <v>0</v>
      </c>
      <c r="L175" s="8">
        <v>1</v>
      </c>
      <c r="M175" s="8">
        <v>0</v>
      </c>
      <c r="N175" s="8">
        <v>7</v>
      </c>
      <c r="O175" s="28">
        <f t="shared" si="12"/>
        <v>2.136208698809237</v>
      </c>
      <c r="P175" s="28">
        <f t="shared" si="13"/>
        <v>8.4672747090667304</v>
      </c>
      <c r="Q175" s="28">
        <f t="shared" si="14"/>
        <v>0.89437298158863943</v>
      </c>
      <c r="R175" s="5">
        <f t="shared" si="15"/>
        <v>0.10562701841136057</v>
      </c>
      <c r="S175" s="5">
        <f t="shared" si="16"/>
        <v>-0.97622497909275263</v>
      </c>
      <c r="T175" s="5">
        <f t="shared" si="17"/>
        <v>0</v>
      </c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</row>
    <row r="176" spans="1:37" ht="15" x14ac:dyDescent="0.25">
      <c r="A176" s="8">
        <v>1</v>
      </c>
      <c r="B176" s="8">
        <v>59</v>
      </c>
      <c r="C176" s="8">
        <v>0</v>
      </c>
      <c r="D176" s="8">
        <v>4</v>
      </c>
      <c r="E176" s="8">
        <v>174</v>
      </c>
      <c r="F176" s="8">
        <v>249</v>
      </c>
      <c r="G176" s="8">
        <v>0</v>
      </c>
      <c r="H176" s="8">
        <v>0</v>
      </c>
      <c r="I176" s="8">
        <v>143</v>
      </c>
      <c r="J176" s="8">
        <v>1</v>
      </c>
      <c r="K176" s="8">
        <v>0</v>
      </c>
      <c r="L176" s="8">
        <v>2</v>
      </c>
      <c r="M176" s="8">
        <v>0</v>
      </c>
      <c r="N176" s="8">
        <v>3</v>
      </c>
      <c r="O176" s="28">
        <f t="shared" si="12"/>
        <v>-0.33375326680259487</v>
      </c>
      <c r="P176" s="28">
        <f t="shared" si="13"/>
        <v>0.71623047826390407</v>
      </c>
      <c r="Q176" s="28">
        <f t="shared" si="14"/>
        <v>0.41732767675144949</v>
      </c>
      <c r="R176" s="5">
        <f t="shared" si="15"/>
        <v>0.41732767675144949</v>
      </c>
      <c r="S176" s="5">
        <f t="shared" si="16"/>
        <v>-0.37952281236030122</v>
      </c>
      <c r="T176" s="5">
        <f t="shared" si="17"/>
        <v>1</v>
      </c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</row>
    <row r="177" spans="1:37" ht="15" x14ac:dyDescent="0.25">
      <c r="A177" s="8">
        <v>0</v>
      </c>
      <c r="B177" s="8">
        <v>62</v>
      </c>
      <c r="C177" s="8">
        <v>0</v>
      </c>
      <c r="D177" s="8">
        <v>4</v>
      </c>
      <c r="E177" s="8">
        <v>140</v>
      </c>
      <c r="F177" s="8">
        <v>394</v>
      </c>
      <c r="G177" s="8">
        <v>0</v>
      </c>
      <c r="H177" s="8">
        <v>2</v>
      </c>
      <c r="I177" s="8">
        <v>157</v>
      </c>
      <c r="J177" s="8">
        <v>0</v>
      </c>
      <c r="K177" s="8">
        <v>1.2</v>
      </c>
      <c r="L177" s="8">
        <v>2</v>
      </c>
      <c r="M177" s="8">
        <v>0</v>
      </c>
      <c r="N177" s="8">
        <v>3</v>
      </c>
      <c r="O177" s="28">
        <f t="shared" si="12"/>
        <v>-0.89775158785342146</v>
      </c>
      <c r="P177" s="28">
        <f t="shared" si="13"/>
        <v>0.40748482435006189</v>
      </c>
      <c r="Q177" s="28">
        <f t="shared" si="14"/>
        <v>0.28951276582198837</v>
      </c>
      <c r="R177" s="5">
        <f t="shared" si="15"/>
        <v>0.71048723417801163</v>
      </c>
      <c r="S177" s="5">
        <f t="shared" si="16"/>
        <v>-0.14844372093968358</v>
      </c>
      <c r="T177" s="5">
        <f t="shared" si="17"/>
        <v>0</v>
      </c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</row>
    <row r="178" spans="1:37" ht="15" x14ac:dyDescent="0.25">
      <c r="A178" s="8">
        <v>1</v>
      </c>
      <c r="B178" s="8">
        <v>64</v>
      </c>
      <c r="C178" s="8">
        <v>1</v>
      </c>
      <c r="D178" s="8">
        <v>4</v>
      </c>
      <c r="E178" s="8">
        <v>145</v>
      </c>
      <c r="F178" s="8">
        <v>212</v>
      </c>
      <c r="G178" s="8">
        <v>0</v>
      </c>
      <c r="H178" s="8">
        <v>2</v>
      </c>
      <c r="I178" s="8">
        <v>132</v>
      </c>
      <c r="J178" s="8">
        <v>0</v>
      </c>
      <c r="K178" s="8">
        <v>2</v>
      </c>
      <c r="L178" s="8">
        <v>2</v>
      </c>
      <c r="M178" s="8">
        <v>2</v>
      </c>
      <c r="N178" s="8">
        <v>6</v>
      </c>
      <c r="O178" s="28">
        <f t="shared" si="12"/>
        <v>3.8788994493404241</v>
      </c>
      <c r="P178" s="28">
        <f t="shared" si="13"/>
        <v>48.37095108474292</v>
      </c>
      <c r="Q178" s="28">
        <f t="shared" si="14"/>
        <v>0.97974517447955278</v>
      </c>
      <c r="R178" s="5">
        <f t="shared" si="15"/>
        <v>0.97974517447955278</v>
      </c>
      <c r="S178" s="5">
        <f t="shared" si="16"/>
        <v>-8.8868668670207852E-3</v>
      </c>
      <c r="T178" s="5">
        <f t="shared" si="17"/>
        <v>1</v>
      </c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</row>
    <row r="179" spans="1:37" ht="15" x14ac:dyDescent="0.25">
      <c r="A179" s="8">
        <v>1</v>
      </c>
      <c r="B179" s="8">
        <v>57</v>
      </c>
      <c r="C179" s="8">
        <v>1</v>
      </c>
      <c r="D179" s="8">
        <v>4</v>
      </c>
      <c r="E179" s="8">
        <v>152</v>
      </c>
      <c r="F179" s="8">
        <v>274</v>
      </c>
      <c r="G179" s="8">
        <v>0</v>
      </c>
      <c r="H179" s="8">
        <v>0</v>
      </c>
      <c r="I179" s="8">
        <v>88</v>
      </c>
      <c r="J179" s="8">
        <v>1</v>
      </c>
      <c r="K179" s="8">
        <v>1.2</v>
      </c>
      <c r="L179" s="8">
        <v>2</v>
      </c>
      <c r="M179" s="8">
        <v>1</v>
      </c>
      <c r="N179" s="8">
        <v>7</v>
      </c>
      <c r="O179" s="28">
        <f t="shared" si="12"/>
        <v>4.679299408131917</v>
      </c>
      <c r="P179" s="28">
        <f t="shared" si="13"/>
        <v>107.69459617709546</v>
      </c>
      <c r="Q179" s="28">
        <f t="shared" si="14"/>
        <v>0.99079991061956096</v>
      </c>
      <c r="R179" s="5">
        <f t="shared" si="15"/>
        <v>0.99079991061956096</v>
      </c>
      <c r="S179" s="5">
        <f t="shared" si="16"/>
        <v>-4.0140412640702399E-3</v>
      </c>
      <c r="T179" s="5">
        <f t="shared" si="17"/>
        <v>1</v>
      </c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</row>
    <row r="180" spans="1:37" ht="15" x14ac:dyDescent="0.25">
      <c r="A180" s="8">
        <v>0</v>
      </c>
      <c r="B180" s="8">
        <v>52</v>
      </c>
      <c r="C180" s="8">
        <v>1</v>
      </c>
      <c r="D180" s="8">
        <v>4</v>
      </c>
      <c r="E180" s="8">
        <v>108</v>
      </c>
      <c r="F180" s="8">
        <v>233</v>
      </c>
      <c r="G180" s="8">
        <v>1</v>
      </c>
      <c r="H180" s="8">
        <v>0</v>
      </c>
      <c r="I180" s="8">
        <v>147</v>
      </c>
      <c r="J180" s="8">
        <v>0</v>
      </c>
      <c r="K180" s="8">
        <v>0.1</v>
      </c>
      <c r="L180" s="8">
        <v>1</v>
      </c>
      <c r="M180" s="8">
        <v>3</v>
      </c>
      <c r="N180" s="8">
        <v>7</v>
      </c>
      <c r="O180" s="28">
        <f t="shared" si="12"/>
        <v>2.0133659059835169</v>
      </c>
      <c r="P180" s="28">
        <f t="shared" si="13"/>
        <v>7.4884804964757938</v>
      </c>
      <c r="Q180" s="28">
        <f t="shared" si="14"/>
        <v>0.88219328530999441</v>
      </c>
      <c r="R180" s="5">
        <f t="shared" si="15"/>
        <v>0.11780671469000559</v>
      </c>
      <c r="S180" s="5">
        <f t="shared" si="16"/>
        <v>-0.92882995513712763</v>
      </c>
      <c r="T180" s="5">
        <f t="shared" si="17"/>
        <v>1</v>
      </c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</row>
    <row r="181" spans="1:37" ht="15" x14ac:dyDescent="0.25">
      <c r="A181" s="8">
        <v>1</v>
      </c>
      <c r="B181" s="8">
        <v>56</v>
      </c>
      <c r="C181" s="8">
        <v>1</v>
      </c>
      <c r="D181" s="8">
        <v>4</v>
      </c>
      <c r="E181" s="8">
        <v>132</v>
      </c>
      <c r="F181" s="8">
        <v>184</v>
      </c>
      <c r="G181" s="8">
        <v>0</v>
      </c>
      <c r="H181" s="8">
        <v>2</v>
      </c>
      <c r="I181" s="8">
        <v>105</v>
      </c>
      <c r="J181" s="8">
        <v>1</v>
      </c>
      <c r="K181" s="8">
        <v>2.1</v>
      </c>
      <c r="L181" s="8">
        <v>2</v>
      </c>
      <c r="M181" s="8">
        <v>1</v>
      </c>
      <c r="N181" s="8">
        <v>6</v>
      </c>
      <c r="O181" s="28">
        <f t="shared" si="12"/>
        <v>3.7807860524183488</v>
      </c>
      <c r="P181" s="28">
        <f t="shared" si="13"/>
        <v>43.850496981183156</v>
      </c>
      <c r="Q181" s="28">
        <f t="shared" si="14"/>
        <v>0.97770370302876364</v>
      </c>
      <c r="R181" s="5">
        <f t="shared" si="15"/>
        <v>0.97770370302876364</v>
      </c>
      <c r="S181" s="5">
        <f t="shared" si="16"/>
        <v>-9.7927399323940942E-3</v>
      </c>
      <c r="T181" s="5">
        <f t="shared" si="17"/>
        <v>1</v>
      </c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</row>
    <row r="182" spans="1:37" ht="15" x14ac:dyDescent="0.25">
      <c r="A182" s="8">
        <v>0</v>
      </c>
      <c r="B182" s="8">
        <v>43</v>
      </c>
      <c r="C182" s="8">
        <v>1</v>
      </c>
      <c r="D182" s="8">
        <v>3</v>
      </c>
      <c r="E182" s="8">
        <v>130</v>
      </c>
      <c r="F182" s="8">
        <v>315</v>
      </c>
      <c r="G182" s="8">
        <v>0</v>
      </c>
      <c r="H182" s="8">
        <v>0</v>
      </c>
      <c r="I182" s="8">
        <v>162</v>
      </c>
      <c r="J182" s="8">
        <v>0</v>
      </c>
      <c r="K182" s="8">
        <v>1.9</v>
      </c>
      <c r="L182" s="8">
        <v>1</v>
      </c>
      <c r="M182" s="8">
        <v>1</v>
      </c>
      <c r="N182" s="8">
        <v>3</v>
      </c>
      <c r="O182" s="28">
        <f t="shared" si="12"/>
        <v>-0.250473272503978</v>
      </c>
      <c r="P182" s="28">
        <f t="shared" si="13"/>
        <v>0.77843228528151476</v>
      </c>
      <c r="Q182" s="28">
        <f t="shared" si="14"/>
        <v>0.43770701405046397</v>
      </c>
      <c r="R182" s="5">
        <f t="shared" si="15"/>
        <v>0.56229298594953603</v>
      </c>
      <c r="S182" s="5">
        <f t="shared" si="16"/>
        <v>-0.25003733385216775</v>
      </c>
      <c r="T182" s="5">
        <f t="shared" si="17"/>
        <v>1</v>
      </c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</row>
    <row r="183" spans="1:37" ht="15" x14ac:dyDescent="0.25">
      <c r="A183" s="8">
        <v>0</v>
      </c>
      <c r="B183" s="8">
        <v>53</v>
      </c>
      <c r="C183" s="8">
        <v>1</v>
      </c>
      <c r="D183" s="8">
        <v>3</v>
      </c>
      <c r="E183" s="8">
        <v>130</v>
      </c>
      <c r="F183" s="8">
        <v>246</v>
      </c>
      <c r="G183" s="8">
        <v>1</v>
      </c>
      <c r="H183" s="8">
        <v>2</v>
      </c>
      <c r="I183" s="8">
        <v>173</v>
      </c>
      <c r="J183" s="8">
        <v>0</v>
      </c>
      <c r="K183" s="8">
        <v>0</v>
      </c>
      <c r="L183" s="8">
        <v>1</v>
      </c>
      <c r="M183" s="8">
        <v>3</v>
      </c>
      <c r="N183" s="8">
        <v>3</v>
      </c>
      <c r="O183" s="28">
        <f t="shared" si="12"/>
        <v>0.56984488330517635</v>
      </c>
      <c r="P183" s="28">
        <f t="shared" si="13"/>
        <v>1.7679927849653552</v>
      </c>
      <c r="Q183" s="28">
        <f t="shared" si="14"/>
        <v>0.63872738201067369</v>
      </c>
      <c r="R183" s="5">
        <f t="shared" si="15"/>
        <v>0.36127261798932631</v>
      </c>
      <c r="S183" s="5">
        <f t="shared" si="16"/>
        <v>-0.44216495375660708</v>
      </c>
      <c r="T183" s="5">
        <f t="shared" si="17"/>
        <v>1</v>
      </c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</row>
    <row r="184" spans="1:37" ht="15" x14ac:dyDescent="0.25">
      <c r="A184" s="8">
        <v>1</v>
      </c>
      <c r="B184" s="8">
        <v>48</v>
      </c>
      <c r="C184" s="8">
        <v>1</v>
      </c>
      <c r="D184" s="8">
        <v>4</v>
      </c>
      <c r="E184" s="8">
        <v>124</v>
      </c>
      <c r="F184" s="8">
        <v>274</v>
      </c>
      <c r="G184" s="8">
        <v>0</v>
      </c>
      <c r="H184" s="8">
        <v>2</v>
      </c>
      <c r="I184" s="8">
        <v>166</v>
      </c>
      <c r="J184" s="8">
        <v>0</v>
      </c>
      <c r="K184" s="8">
        <v>0.5</v>
      </c>
      <c r="L184" s="8">
        <v>2</v>
      </c>
      <c r="M184" s="8">
        <v>0</v>
      </c>
      <c r="N184" s="8">
        <v>7</v>
      </c>
      <c r="O184" s="28">
        <f t="shared" si="12"/>
        <v>0.64510254424740321</v>
      </c>
      <c r="P184" s="28">
        <f t="shared" si="13"/>
        <v>1.9061824872987765</v>
      </c>
      <c r="Q184" s="28">
        <f t="shared" si="14"/>
        <v>0.65590598512983433</v>
      </c>
      <c r="R184" s="5">
        <f t="shared" si="15"/>
        <v>0.65590598512983433</v>
      </c>
      <c r="S184" s="5">
        <f t="shared" si="16"/>
        <v>-0.18315840615086754</v>
      </c>
      <c r="T184" s="5">
        <f t="shared" si="17"/>
        <v>1</v>
      </c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</row>
    <row r="185" spans="1:37" ht="15" x14ac:dyDescent="0.25">
      <c r="A185" s="8">
        <v>1</v>
      </c>
      <c r="B185" s="8">
        <v>56</v>
      </c>
      <c r="C185" s="8">
        <v>0</v>
      </c>
      <c r="D185" s="8">
        <v>4</v>
      </c>
      <c r="E185" s="8">
        <v>134</v>
      </c>
      <c r="F185" s="8">
        <v>409</v>
      </c>
      <c r="G185" s="8">
        <v>0</v>
      </c>
      <c r="H185" s="8">
        <v>2</v>
      </c>
      <c r="I185" s="8">
        <v>150</v>
      </c>
      <c r="J185" s="8">
        <v>1</v>
      </c>
      <c r="K185" s="8">
        <v>1.9</v>
      </c>
      <c r="L185" s="8">
        <v>2</v>
      </c>
      <c r="M185" s="8">
        <v>2</v>
      </c>
      <c r="N185" s="8">
        <v>7</v>
      </c>
      <c r="O185" s="28">
        <f t="shared" si="12"/>
        <v>4.2730352728077188</v>
      </c>
      <c r="P185" s="28">
        <f t="shared" si="13"/>
        <v>71.73905308872429</v>
      </c>
      <c r="Q185" s="28">
        <f t="shared" si="14"/>
        <v>0.98625222686387959</v>
      </c>
      <c r="R185" s="5">
        <f t="shared" si="15"/>
        <v>0.98625222686387959</v>
      </c>
      <c r="S185" s="5">
        <f t="shared" si="16"/>
        <v>-6.0120031857141256E-3</v>
      </c>
      <c r="T185" s="5">
        <f t="shared" si="17"/>
        <v>1</v>
      </c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</row>
    <row r="186" spans="1:37" ht="15" x14ac:dyDescent="0.25">
      <c r="A186" s="8">
        <v>0</v>
      </c>
      <c r="B186" s="8">
        <v>42</v>
      </c>
      <c r="C186" s="8">
        <v>1</v>
      </c>
      <c r="D186" s="8">
        <v>1</v>
      </c>
      <c r="E186" s="8">
        <v>148</v>
      </c>
      <c r="F186" s="8">
        <v>244</v>
      </c>
      <c r="G186" s="8">
        <v>0</v>
      </c>
      <c r="H186" s="8">
        <v>2</v>
      </c>
      <c r="I186" s="8">
        <v>178</v>
      </c>
      <c r="J186" s="8">
        <v>0</v>
      </c>
      <c r="K186" s="8">
        <v>0.8</v>
      </c>
      <c r="L186" s="8">
        <v>1</v>
      </c>
      <c r="M186" s="8">
        <v>2</v>
      </c>
      <c r="N186" s="8">
        <v>3</v>
      </c>
      <c r="O186" s="28">
        <f t="shared" si="12"/>
        <v>-0.15458942295966605</v>
      </c>
      <c r="P186" s="28">
        <f t="shared" si="13"/>
        <v>0.85676687408681651</v>
      </c>
      <c r="Q186" s="28">
        <f t="shared" si="14"/>
        <v>0.46142942662534636</v>
      </c>
      <c r="R186" s="5">
        <f t="shared" si="15"/>
        <v>0.53857057337465364</v>
      </c>
      <c r="S186" s="5">
        <f t="shared" si="16"/>
        <v>-0.268757379424577</v>
      </c>
      <c r="T186" s="5">
        <f t="shared" si="17"/>
        <v>1</v>
      </c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</row>
    <row r="187" spans="1:37" ht="15" x14ac:dyDescent="0.25">
      <c r="A187" s="8">
        <v>0</v>
      </c>
      <c r="B187" s="8">
        <v>59</v>
      </c>
      <c r="C187" s="8">
        <v>1</v>
      </c>
      <c r="D187" s="8">
        <v>1</v>
      </c>
      <c r="E187" s="8">
        <v>178</v>
      </c>
      <c r="F187" s="8">
        <v>270</v>
      </c>
      <c r="G187" s="8">
        <v>0</v>
      </c>
      <c r="H187" s="8">
        <v>2</v>
      </c>
      <c r="I187" s="8">
        <v>145</v>
      </c>
      <c r="J187" s="8">
        <v>0</v>
      </c>
      <c r="K187" s="8">
        <v>4.2</v>
      </c>
      <c r="L187" s="8">
        <v>3</v>
      </c>
      <c r="M187" s="8">
        <v>0</v>
      </c>
      <c r="N187" s="8">
        <v>7</v>
      </c>
      <c r="O187" s="28">
        <f t="shared" si="12"/>
        <v>1.9592840982432529</v>
      </c>
      <c r="P187" s="28">
        <f t="shared" si="13"/>
        <v>7.0942464632618663</v>
      </c>
      <c r="Q187" s="28">
        <f t="shared" si="14"/>
        <v>0.87645545455790164</v>
      </c>
      <c r="R187" s="5">
        <f t="shared" si="15"/>
        <v>0.12354454544209836</v>
      </c>
      <c r="S187" s="5">
        <f t="shared" si="16"/>
        <v>-0.90817642417279532</v>
      </c>
      <c r="T187" s="5">
        <f t="shared" si="17"/>
        <v>1</v>
      </c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</row>
    <row r="188" spans="1:37" ht="15" x14ac:dyDescent="0.25">
      <c r="A188" s="8">
        <v>1</v>
      </c>
      <c r="B188" s="8">
        <v>60</v>
      </c>
      <c r="C188" s="8">
        <v>0</v>
      </c>
      <c r="D188" s="8">
        <v>4</v>
      </c>
      <c r="E188" s="8">
        <v>158</v>
      </c>
      <c r="F188" s="8">
        <v>305</v>
      </c>
      <c r="G188" s="8">
        <v>0</v>
      </c>
      <c r="H188" s="8">
        <v>2</v>
      </c>
      <c r="I188" s="8">
        <v>161</v>
      </c>
      <c r="J188" s="8">
        <v>0</v>
      </c>
      <c r="K188" s="8">
        <v>0</v>
      </c>
      <c r="L188" s="8">
        <v>1</v>
      </c>
      <c r="M188" s="8">
        <v>0</v>
      </c>
      <c r="N188" s="8">
        <v>3</v>
      </c>
      <c r="O188" s="28">
        <f t="shared" si="12"/>
        <v>-1.8307380056584552</v>
      </c>
      <c r="P188" s="28">
        <f t="shared" si="13"/>
        <v>0.16029522532853061</v>
      </c>
      <c r="Q188" s="28">
        <f t="shared" si="14"/>
        <v>0.1381503791702185</v>
      </c>
      <c r="R188" s="5">
        <f t="shared" si="15"/>
        <v>0.1381503791702185</v>
      </c>
      <c r="S188" s="5">
        <f t="shared" si="16"/>
        <v>-0.85964791877274949</v>
      </c>
      <c r="T188" s="5">
        <f t="shared" si="17"/>
        <v>1</v>
      </c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</row>
    <row r="189" spans="1:37" ht="15" x14ac:dyDescent="0.25">
      <c r="A189" s="8">
        <v>0</v>
      </c>
      <c r="B189" s="8">
        <v>63</v>
      </c>
      <c r="C189" s="8">
        <v>0</v>
      </c>
      <c r="D189" s="8">
        <v>2</v>
      </c>
      <c r="E189" s="8">
        <v>140</v>
      </c>
      <c r="F189" s="8">
        <v>195</v>
      </c>
      <c r="G189" s="8">
        <v>0</v>
      </c>
      <c r="H189" s="8">
        <v>0</v>
      </c>
      <c r="I189" s="8">
        <v>179</v>
      </c>
      <c r="J189" s="8">
        <v>0</v>
      </c>
      <c r="K189" s="8">
        <v>0</v>
      </c>
      <c r="L189" s="8">
        <v>1</v>
      </c>
      <c r="M189" s="8">
        <v>2</v>
      </c>
      <c r="N189" s="8">
        <v>3</v>
      </c>
      <c r="O189" s="28">
        <f t="shared" si="12"/>
        <v>-2.3340928197220698</v>
      </c>
      <c r="P189" s="28">
        <f t="shared" si="13"/>
        <v>9.6898346935308674E-2</v>
      </c>
      <c r="Q189" s="28">
        <f t="shared" si="14"/>
        <v>8.8338492993483758E-2</v>
      </c>
      <c r="R189" s="5">
        <f t="shared" si="15"/>
        <v>0.91166150700651627</v>
      </c>
      <c r="S189" s="5">
        <f t="shared" si="16"/>
        <v>-4.0166381986161168E-2</v>
      </c>
      <c r="T189" s="5">
        <f t="shared" si="17"/>
        <v>1</v>
      </c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</row>
    <row r="190" spans="1:37" ht="15" x14ac:dyDescent="0.25">
      <c r="A190" s="8">
        <v>0</v>
      </c>
      <c r="B190" s="8">
        <v>42</v>
      </c>
      <c r="C190" s="8">
        <v>1</v>
      </c>
      <c r="D190" s="8">
        <v>3</v>
      </c>
      <c r="E190" s="8">
        <v>120</v>
      </c>
      <c r="F190" s="8">
        <v>240</v>
      </c>
      <c r="G190" s="8">
        <v>1</v>
      </c>
      <c r="H190" s="8">
        <v>0</v>
      </c>
      <c r="I190" s="8">
        <v>194</v>
      </c>
      <c r="J190" s="8">
        <v>0</v>
      </c>
      <c r="K190" s="8">
        <v>0.8</v>
      </c>
      <c r="L190" s="8">
        <v>3</v>
      </c>
      <c r="M190" s="8">
        <v>0</v>
      </c>
      <c r="N190" s="8">
        <v>7</v>
      </c>
      <c r="O190" s="28">
        <f t="shared" si="12"/>
        <v>-1.558467947430068</v>
      </c>
      <c r="P190" s="28">
        <f t="shared" si="13"/>
        <v>0.2104582574487987</v>
      </c>
      <c r="Q190" s="28">
        <f t="shared" si="14"/>
        <v>0.17386659651722924</v>
      </c>
      <c r="R190" s="5">
        <f t="shared" si="15"/>
        <v>0.82613340348277076</v>
      </c>
      <c r="S190" s="5">
        <f t="shared" si="16"/>
        <v>-8.2949817427297609E-2</v>
      </c>
      <c r="T190" s="5">
        <f t="shared" si="17"/>
        <v>1</v>
      </c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</row>
    <row r="191" spans="1:37" ht="15" x14ac:dyDescent="0.25">
      <c r="A191" s="8">
        <v>1</v>
      </c>
      <c r="B191" s="8">
        <v>66</v>
      </c>
      <c r="C191" s="8">
        <v>1</v>
      </c>
      <c r="D191" s="8">
        <v>2</v>
      </c>
      <c r="E191" s="8">
        <v>160</v>
      </c>
      <c r="F191" s="8">
        <v>246</v>
      </c>
      <c r="G191" s="8">
        <v>0</v>
      </c>
      <c r="H191" s="8">
        <v>0</v>
      </c>
      <c r="I191" s="8">
        <v>120</v>
      </c>
      <c r="J191" s="8">
        <v>1</v>
      </c>
      <c r="K191" s="8">
        <v>0</v>
      </c>
      <c r="L191" s="8">
        <v>2</v>
      </c>
      <c r="M191" s="8">
        <v>3</v>
      </c>
      <c r="N191" s="8">
        <v>6</v>
      </c>
      <c r="O191" s="28">
        <f t="shared" si="12"/>
        <v>4.6860565579110682</v>
      </c>
      <c r="P191" s="28">
        <f t="shared" si="13"/>
        <v>108.42476885870791</v>
      </c>
      <c r="Q191" s="28">
        <f t="shared" si="14"/>
        <v>0.9908613012352695</v>
      </c>
      <c r="R191" s="5">
        <f t="shared" si="15"/>
        <v>0.9908613012352695</v>
      </c>
      <c r="S191" s="5">
        <f t="shared" si="16"/>
        <v>-3.9871329252564288E-3</v>
      </c>
      <c r="T191" s="5">
        <f t="shared" si="17"/>
        <v>1</v>
      </c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</row>
    <row r="192" spans="1:37" ht="15" x14ac:dyDescent="0.25">
      <c r="A192" s="8">
        <v>1</v>
      </c>
      <c r="B192" s="8">
        <v>54</v>
      </c>
      <c r="C192" s="8">
        <v>1</v>
      </c>
      <c r="D192" s="8">
        <v>2</v>
      </c>
      <c r="E192" s="8">
        <v>192</v>
      </c>
      <c r="F192" s="8">
        <v>283</v>
      </c>
      <c r="G192" s="8">
        <v>0</v>
      </c>
      <c r="H192" s="8">
        <v>2</v>
      </c>
      <c r="I192" s="8">
        <v>195</v>
      </c>
      <c r="J192" s="8">
        <v>0</v>
      </c>
      <c r="K192" s="8">
        <v>0</v>
      </c>
      <c r="L192" s="8">
        <v>1</v>
      </c>
      <c r="M192" s="8">
        <v>1</v>
      </c>
      <c r="N192" s="8">
        <v>7</v>
      </c>
      <c r="O192" s="28">
        <f t="shared" si="12"/>
        <v>1.0631051863966876</v>
      </c>
      <c r="P192" s="28">
        <f t="shared" si="13"/>
        <v>2.8953476390721833</v>
      </c>
      <c r="Q192" s="28">
        <f t="shared" si="14"/>
        <v>0.74328350312831493</v>
      </c>
      <c r="R192" s="5">
        <f t="shared" si="15"/>
        <v>0.74328350312831493</v>
      </c>
      <c r="S192" s="5">
        <f t="shared" si="16"/>
        <v>-0.12884550607751269</v>
      </c>
      <c r="T192" s="5">
        <f t="shared" si="17"/>
        <v>1</v>
      </c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</row>
    <row r="193" spans="1:37" ht="15" x14ac:dyDescent="0.25">
      <c r="A193" s="8">
        <v>1</v>
      </c>
      <c r="B193" s="8">
        <v>69</v>
      </c>
      <c r="C193" s="8">
        <v>1</v>
      </c>
      <c r="D193" s="8">
        <v>3</v>
      </c>
      <c r="E193" s="8">
        <v>140</v>
      </c>
      <c r="F193" s="8">
        <v>254</v>
      </c>
      <c r="G193" s="8">
        <v>0</v>
      </c>
      <c r="H193" s="8">
        <v>2</v>
      </c>
      <c r="I193" s="8">
        <v>146</v>
      </c>
      <c r="J193" s="8">
        <v>0</v>
      </c>
      <c r="K193" s="8">
        <v>2</v>
      </c>
      <c r="L193" s="8">
        <v>2</v>
      </c>
      <c r="M193" s="8">
        <v>3</v>
      </c>
      <c r="N193" s="8">
        <v>7</v>
      </c>
      <c r="O193" s="28">
        <f t="shared" si="12"/>
        <v>4.6441669982432243</v>
      </c>
      <c r="P193" s="28">
        <f t="shared" si="13"/>
        <v>103.97671691324186</v>
      </c>
      <c r="Q193" s="28">
        <f t="shared" si="14"/>
        <v>0.99047407816319455</v>
      </c>
      <c r="R193" s="5">
        <f t="shared" si="15"/>
        <v>0.99047407816319455</v>
      </c>
      <c r="S193" s="5">
        <f t="shared" si="16"/>
        <v>-4.1568859588492586E-3</v>
      </c>
      <c r="T193" s="5">
        <f t="shared" si="17"/>
        <v>0</v>
      </c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</row>
    <row r="194" spans="1:37" ht="15" x14ac:dyDescent="0.25">
      <c r="A194" s="8">
        <v>0</v>
      </c>
      <c r="B194" s="8">
        <v>50</v>
      </c>
      <c r="C194" s="8">
        <v>1</v>
      </c>
      <c r="D194" s="8">
        <v>3</v>
      </c>
      <c r="E194" s="8">
        <v>129</v>
      </c>
      <c r="F194" s="8">
        <v>196</v>
      </c>
      <c r="G194" s="8">
        <v>0</v>
      </c>
      <c r="H194" s="8">
        <v>0</v>
      </c>
      <c r="I194" s="8">
        <v>163</v>
      </c>
      <c r="J194" s="8">
        <v>0</v>
      </c>
      <c r="K194" s="8">
        <v>0</v>
      </c>
      <c r="L194" s="8">
        <v>1</v>
      </c>
      <c r="M194" s="8">
        <v>0</v>
      </c>
      <c r="N194" s="8">
        <v>3</v>
      </c>
      <c r="O194" s="28">
        <f t="shared" si="12"/>
        <v>-2.7263872302957806</v>
      </c>
      <c r="P194" s="28">
        <f t="shared" si="13"/>
        <v>6.5455338079501921E-2</v>
      </c>
      <c r="Q194" s="28">
        <f t="shared" si="14"/>
        <v>6.1434145327467292E-2</v>
      </c>
      <c r="R194" s="5">
        <f t="shared" si="15"/>
        <v>0.93856585467253273</v>
      </c>
      <c r="S194" s="5">
        <f t="shared" si="16"/>
        <v>-2.7535249608973456E-2</v>
      </c>
      <c r="T194" s="5">
        <f t="shared" si="17"/>
        <v>1</v>
      </c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</row>
    <row r="195" spans="1:37" ht="15" x14ac:dyDescent="0.25">
      <c r="A195" s="8">
        <v>1</v>
      </c>
      <c r="B195" s="8">
        <v>51</v>
      </c>
      <c r="C195" s="8">
        <v>1</v>
      </c>
      <c r="D195" s="8">
        <v>4</v>
      </c>
      <c r="E195" s="8">
        <v>140</v>
      </c>
      <c r="F195" s="8">
        <v>298</v>
      </c>
      <c r="G195" s="8">
        <v>0</v>
      </c>
      <c r="H195" s="8">
        <v>0</v>
      </c>
      <c r="I195" s="8">
        <v>122</v>
      </c>
      <c r="J195" s="8">
        <v>1</v>
      </c>
      <c r="K195" s="8">
        <v>4.2</v>
      </c>
      <c r="L195" s="8">
        <v>2</v>
      </c>
      <c r="M195" s="8">
        <v>3</v>
      </c>
      <c r="N195" s="8">
        <v>7</v>
      </c>
      <c r="O195" s="28">
        <f t="shared" si="12"/>
        <v>7.1705990073925525</v>
      </c>
      <c r="P195" s="28">
        <f t="shared" si="13"/>
        <v>1300.6234525753732</v>
      </c>
      <c r="Q195" s="28">
        <f t="shared" si="14"/>
        <v>0.99923172865545606</v>
      </c>
      <c r="R195" s="5">
        <f t="shared" si="15"/>
        <v>0.99923172865545606</v>
      </c>
      <c r="S195" s="5">
        <f t="shared" si="16"/>
        <v>-3.3378424039747E-4</v>
      </c>
      <c r="T195" s="5">
        <f t="shared" si="17"/>
        <v>1</v>
      </c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</row>
    <row r="196" spans="1:37" ht="15" x14ac:dyDescent="0.25">
      <c r="A196" s="8">
        <v>1</v>
      </c>
      <c r="B196" s="8">
        <v>62</v>
      </c>
      <c r="C196" s="8">
        <v>0</v>
      </c>
      <c r="D196" s="8">
        <v>4</v>
      </c>
      <c r="E196" s="8">
        <v>138</v>
      </c>
      <c r="F196" s="8">
        <v>294</v>
      </c>
      <c r="G196" s="8">
        <v>1</v>
      </c>
      <c r="H196" s="8">
        <v>0</v>
      </c>
      <c r="I196" s="8">
        <v>106</v>
      </c>
      <c r="J196" s="8">
        <v>0</v>
      </c>
      <c r="K196" s="8">
        <v>1.9</v>
      </c>
      <c r="L196" s="8">
        <v>2</v>
      </c>
      <c r="M196" s="8">
        <v>3</v>
      </c>
      <c r="N196" s="8">
        <v>3</v>
      </c>
      <c r="O196" s="28">
        <f t="shared" si="12"/>
        <v>2.0724205593121789</v>
      </c>
      <c r="P196" s="28">
        <f t="shared" si="13"/>
        <v>7.9440288571829916</v>
      </c>
      <c r="Q196" s="28">
        <f t="shared" si="14"/>
        <v>0.88819356288224671</v>
      </c>
      <c r="R196" s="5">
        <f t="shared" si="15"/>
        <v>0.88819356288224671</v>
      </c>
      <c r="S196" s="5">
        <f t="shared" si="16"/>
        <v>-5.1492378668366347E-2</v>
      </c>
      <c r="T196" s="5">
        <f t="shared" si="17"/>
        <v>1</v>
      </c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</row>
    <row r="197" spans="1:37" ht="15" x14ac:dyDescent="0.25">
      <c r="A197" s="8">
        <v>0</v>
      </c>
      <c r="B197" s="8">
        <v>68</v>
      </c>
      <c r="C197" s="8">
        <v>0</v>
      </c>
      <c r="D197" s="8">
        <v>3</v>
      </c>
      <c r="E197" s="8">
        <v>120</v>
      </c>
      <c r="F197" s="8">
        <v>211</v>
      </c>
      <c r="G197" s="8">
        <v>0</v>
      </c>
      <c r="H197" s="8">
        <v>2</v>
      </c>
      <c r="I197" s="8">
        <v>115</v>
      </c>
      <c r="J197" s="8">
        <v>0</v>
      </c>
      <c r="K197" s="8">
        <v>1.5</v>
      </c>
      <c r="L197" s="8">
        <v>2</v>
      </c>
      <c r="M197" s="8">
        <v>0</v>
      </c>
      <c r="N197" s="8">
        <v>3</v>
      </c>
      <c r="O197" s="28">
        <f t="shared" si="12"/>
        <v>-2.0115606039369318</v>
      </c>
      <c r="P197" s="28">
        <f t="shared" si="13"/>
        <v>0.13377973449444777</v>
      </c>
      <c r="Q197" s="28">
        <f t="shared" si="14"/>
        <v>0.11799446614213839</v>
      </c>
      <c r="R197" s="5">
        <f t="shared" si="15"/>
        <v>0.88200553385786162</v>
      </c>
      <c r="S197" s="5">
        <f t="shared" si="16"/>
        <v>-5.4528690019661576E-2</v>
      </c>
      <c r="T197" s="5">
        <f t="shared" si="17"/>
        <v>1</v>
      </c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</row>
    <row r="198" spans="1:37" ht="15" x14ac:dyDescent="0.25">
      <c r="A198" s="8">
        <v>1</v>
      </c>
      <c r="B198" s="8">
        <v>67</v>
      </c>
      <c r="C198" s="8">
        <v>1</v>
      </c>
      <c r="D198" s="8">
        <v>4</v>
      </c>
      <c r="E198" s="8">
        <v>100</v>
      </c>
      <c r="F198" s="8">
        <v>299</v>
      </c>
      <c r="G198" s="8">
        <v>0</v>
      </c>
      <c r="H198" s="8">
        <v>2</v>
      </c>
      <c r="I198" s="8">
        <v>125</v>
      </c>
      <c r="J198" s="8">
        <v>1</v>
      </c>
      <c r="K198" s="8">
        <v>0.9</v>
      </c>
      <c r="L198" s="8">
        <v>2</v>
      </c>
      <c r="M198" s="8">
        <v>2</v>
      </c>
      <c r="N198" s="8">
        <v>3</v>
      </c>
      <c r="O198" s="28">
        <f t="shared" si="12"/>
        <v>2.9558760706827334</v>
      </c>
      <c r="P198" s="28">
        <f t="shared" si="13"/>
        <v>19.218552156977843</v>
      </c>
      <c r="Q198" s="28">
        <f t="shared" si="14"/>
        <v>0.95054047430122834</v>
      </c>
      <c r="R198" s="5">
        <f t="shared" si="15"/>
        <v>0.95054047430122834</v>
      </c>
      <c r="S198" s="5">
        <f t="shared" si="16"/>
        <v>-2.2029386014273192E-2</v>
      </c>
      <c r="T198" s="5">
        <f t="shared" si="17"/>
        <v>0</v>
      </c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</row>
    <row r="199" spans="1:37" ht="15" x14ac:dyDescent="0.25">
      <c r="A199" s="8">
        <v>0</v>
      </c>
      <c r="B199" s="8">
        <v>69</v>
      </c>
      <c r="C199" s="8">
        <v>1</v>
      </c>
      <c r="D199" s="8">
        <v>1</v>
      </c>
      <c r="E199" s="8">
        <v>160</v>
      </c>
      <c r="F199" s="8">
        <v>234</v>
      </c>
      <c r="G199" s="8">
        <v>1</v>
      </c>
      <c r="H199" s="8">
        <v>2</v>
      </c>
      <c r="I199" s="8">
        <v>131</v>
      </c>
      <c r="J199" s="8">
        <v>0</v>
      </c>
      <c r="K199" s="8">
        <v>0.1</v>
      </c>
      <c r="L199" s="8">
        <v>2</v>
      </c>
      <c r="M199" s="8">
        <v>1</v>
      </c>
      <c r="N199" s="8">
        <v>3</v>
      </c>
      <c r="O199" s="28">
        <f t="shared" ref="O199:O262" si="18">$A$3+SUMPRODUCT($B$3:$N$3,B199:N199)</f>
        <v>-1.2199188181064473</v>
      </c>
      <c r="P199" s="28">
        <f t="shared" ref="P199:P262" si="19">EXP(O199)</f>
        <v>0.29525413524088251</v>
      </c>
      <c r="Q199" s="28">
        <f t="shared" ref="Q199:Q262" si="20">P199/(P199+1)</f>
        <v>0.22795073739407379</v>
      </c>
      <c r="R199" s="5">
        <f t="shared" ref="R199:R262" si="21">IF(A199=1,Q199,1-Q199)</f>
        <v>0.77204926260592621</v>
      </c>
      <c r="S199" s="5">
        <f t="shared" ref="S199:S262" si="22">LOG(R199)</f>
        <v>-0.11235498749413649</v>
      </c>
      <c r="T199" s="5">
        <f t="shared" ref="T199:T262" si="23">IF(Q195&gt;Q$2,1,0)</f>
        <v>1</v>
      </c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</row>
    <row r="200" spans="1:37" ht="15" x14ac:dyDescent="0.25">
      <c r="A200" s="8">
        <v>0</v>
      </c>
      <c r="B200" s="8">
        <v>45</v>
      </c>
      <c r="C200" s="8">
        <v>0</v>
      </c>
      <c r="D200" s="8">
        <v>4</v>
      </c>
      <c r="E200" s="8">
        <v>138</v>
      </c>
      <c r="F200" s="8">
        <v>236</v>
      </c>
      <c r="G200" s="8">
        <v>0</v>
      </c>
      <c r="H200" s="8">
        <v>2</v>
      </c>
      <c r="I200" s="8">
        <v>152</v>
      </c>
      <c r="J200" s="8">
        <v>1</v>
      </c>
      <c r="K200" s="8">
        <v>0.2</v>
      </c>
      <c r="L200" s="8">
        <v>2</v>
      </c>
      <c r="M200" s="8">
        <v>0</v>
      </c>
      <c r="N200" s="8">
        <v>3</v>
      </c>
      <c r="O200" s="28">
        <f t="shared" si="18"/>
        <v>-0.71223914456454995</v>
      </c>
      <c r="P200" s="28">
        <f t="shared" si="19"/>
        <v>0.49054456660419699</v>
      </c>
      <c r="Q200" s="28">
        <f t="shared" si="20"/>
        <v>0.32910426000999771</v>
      </c>
      <c r="R200" s="5">
        <f t="shared" si="21"/>
        <v>0.67089573999000229</v>
      </c>
      <c r="S200" s="5">
        <f t="shared" si="22"/>
        <v>-0.17334496577014152</v>
      </c>
      <c r="T200" s="5">
        <f t="shared" si="23"/>
        <v>1</v>
      </c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</row>
    <row r="201" spans="1:37" ht="15" x14ac:dyDescent="0.25">
      <c r="A201" s="8">
        <v>0</v>
      </c>
      <c r="B201" s="8">
        <v>50</v>
      </c>
      <c r="C201" s="8">
        <v>0</v>
      </c>
      <c r="D201" s="8">
        <v>2</v>
      </c>
      <c r="E201" s="8">
        <v>120</v>
      </c>
      <c r="F201" s="8">
        <v>244</v>
      </c>
      <c r="G201" s="8">
        <v>0</v>
      </c>
      <c r="H201" s="8">
        <v>0</v>
      </c>
      <c r="I201" s="8">
        <v>162</v>
      </c>
      <c r="J201" s="8">
        <v>0</v>
      </c>
      <c r="K201" s="8">
        <v>1.1000000000000001</v>
      </c>
      <c r="L201" s="8">
        <v>1</v>
      </c>
      <c r="M201" s="8">
        <v>0</v>
      </c>
      <c r="N201" s="8">
        <v>3</v>
      </c>
      <c r="O201" s="28">
        <f t="shared" si="18"/>
        <v>-4.298293369444</v>
      </c>
      <c r="P201" s="28">
        <f t="shared" si="19"/>
        <v>1.3591735300667832E-2</v>
      </c>
      <c r="Q201" s="28">
        <f t="shared" si="20"/>
        <v>1.3409477235561745E-2</v>
      </c>
      <c r="R201" s="5">
        <f t="shared" si="21"/>
        <v>0.98659052276443826</v>
      </c>
      <c r="S201" s="5">
        <f t="shared" si="22"/>
        <v>-5.863060707322656E-3</v>
      </c>
      <c r="T201" s="5">
        <f t="shared" si="23"/>
        <v>1</v>
      </c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</row>
    <row r="202" spans="1:37" ht="15" x14ac:dyDescent="0.25">
      <c r="A202" s="8">
        <v>1</v>
      </c>
      <c r="B202" s="8">
        <v>59</v>
      </c>
      <c r="C202" s="8">
        <v>1</v>
      </c>
      <c r="D202" s="8">
        <v>1</v>
      </c>
      <c r="E202" s="8">
        <v>160</v>
      </c>
      <c r="F202" s="8">
        <v>273</v>
      </c>
      <c r="G202" s="8">
        <v>0</v>
      </c>
      <c r="H202" s="8">
        <v>2</v>
      </c>
      <c r="I202" s="8">
        <v>125</v>
      </c>
      <c r="J202" s="8">
        <v>0</v>
      </c>
      <c r="K202" s="8">
        <v>0</v>
      </c>
      <c r="L202" s="8">
        <v>1</v>
      </c>
      <c r="M202" s="8">
        <v>0</v>
      </c>
      <c r="N202" s="8">
        <v>3</v>
      </c>
      <c r="O202" s="28">
        <f t="shared" si="18"/>
        <v>-1.6001159023581932</v>
      </c>
      <c r="P202" s="28">
        <f t="shared" si="19"/>
        <v>0.20187311906813041</v>
      </c>
      <c r="Q202" s="28">
        <f t="shared" si="20"/>
        <v>0.16796541653635808</v>
      </c>
      <c r="R202" s="5">
        <f t="shared" si="21"/>
        <v>0.16796541653635808</v>
      </c>
      <c r="S202" s="5">
        <f t="shared" si="22"/>
        <v>-0.77478012871187019</v>
      </c>
      <c r="T202" s="5">
        <f t="shared" si="23"/>
        <v>1</v>
      </c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</row>
    <row r="203" spans="1:37" ht="15" x14ac:dyDescent="0.25">
      <c r="A203" s="8">
        <v>0</v>
      </c>
      <c r="B203" s="8">
        <v>50</v>
      </c>
      <c r="C203" s="8">
        <v>0</v>
      </c>
      <c r="D203" s="8">
        <v>4</v>
      </c>
      <c r="E203" s="8">
        <v>110</v>
      </c>
      <c r="F203" s="8">
        <v>254</v>
      </c>
      <c r="G203" s="8">
        <v>0</v>
      </c>
      <c r="H203" s="8">
        <v>2</v>
      </c>
      <c r="I203" s="8">
        <v>159</v>
      </c>
      <c r="J203" s="8">
        <v>0</v>
      </c>
      <c r="K203" s="8">
        <v>0</v>
      </c>
      <c r="L203" s="8">
        <v>1</v>
      </c>
      <c r="M203" s="8">
        <v>0</v>
      </c>
      <c r="N203" s="8">
        <v>3</v>
      </c>
      <c r="O203" s="28">
        <f t="shared" si="18"/>
        <v>-3.0567321610176741</v>
      </c>
      <c r="P203" s="28">
        <f t="shared" si="19"/>
        <v>4.7041167282639899E-2</v>
      </c>
      <c r="Q203" s="28">
        <f t="shared" si="20"/>
        <v>4.4927715120050803E-2</v>
      </c>
      <c r="R203" s="5">
        <f t="shared" si="21"/>
        <v>0.95507228487994922</v>
      </c>
      <c r="S203" s="5">
        <f t="shared" si="22"/>
        <v>-1.9963757488016567E-2</v>
      </c>
      <c r="T203" s="5">
        <f t="shared" si="23"/>
        <v>1</v>
      </c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</row>
    <row r="204" spans="1:37" ht="15" x14ac:dyDescent="0.25">
      <c r="A204" s="8">
        <v>0</v>
      </c>
      <c r="B204" s="8">
        <v>64</v>
      </c>
      <c r="C204" s="8">
        <v>0</v>
      </c>
      <c r="D204" s="8">
        <v>4</v>
      </c>
      <c r="E204" s="8">
        <v>180</v>
      </c>
      <c r="F204" s="8">
        <v>325</v>
      </c>
      <c r="G204" s="8">
        <v>0</v>
      </c>
      <c r="H204" s="8">
        <v>0</v>
      </c>
      <c r="I204" s="8">
        <v>154</v>
      </c>
      <c r="J204" s="8">
        <v>1</v>
      </c>
      <c r="K204" s="8">
        <v>0</v>
      </c>
      <c r="L204" s="8">
        <v>1</v>
      </c>
      <c r="M204" s="8">
        <v>0</v>
      </c>
      <c r="N204" s="8">
        <v>3</v>
      </c>
      <c r="O204" s="28">
        <f t="shared" si="18"/>
        <v>-0.67801193829462392</v>
      </c>
      <c r="P204" s="28">
        <f t="shared" si="19"/>
        <v>0.50762518004500057</v>
      </c>
      <c r="Q204" s="28">
        <f t="shared" si="20"/>
        <v>0.33670516170992087</v>
      </c>
      <c r="R204" s="5">
        <f t="shared" si="21"/>
        <v>0.66329483829007918</v>
      </c>
      <c r="S204" s="5">
        <f t="shared" si="22"/>
        <v>-0.17829338233505973</v>
      </c>
      <c r="T204" s="5">
        <f t="shared" si="23"/>
        <v>1</v>
      </c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</row>
    <row r="205" spans="1:37" ht="15" x14ac:dyDescent="0.25">
      <c r="A205" s="8">
        <v>0</v>
      </c>
      <c r="B205" s="8">
        <v>57</v>
      </c>
      <c r="C205" s="8">
        <v>1</v>
      </c>
      <c r="D205" s="8">
        <v>3</v>
      </c>
      <c r="E205" s="8">
        <v>150</v>
      </c>
      <c r="F205" s="8">
        <v>126</v>
      </c>
      <c r="G205" s="8">
        <v>1</v>
      </c>
      <c r="H205" s="8">
        <v>0</v>
      </c>
      <c r="I205" s="8">
        <v>173</v>
      </c>
      <c r="J205" s="8">
        <v>0</v>
      </c>
      <c r="K205" s="8">
        <v>0.2</v>
      </c>
      <c r="L205" s="8">
        <v>1</v>
      </c>
      <c r="M205" s="8">
        <v>1</v>
      </c>
      <c r="N205" s="8">
        <v>7</v>
      </c>
      <c r="O205" s="28">
        <f t="shared" si="18"/>
        <v>-1.2058442744815867</v>
      </c>
      <c r="P205" s="28">
        <f t="shared" si="19"/>
        <v>0.29943908398580771</v>
      </c>
      <c r="Q205" s="28">
        <f t="shared" si="20"/>
        <v>0.23043718453298281</v>
      </c>
      <c r="R205" s="5">
        <f t="shared" si="21"/>
        <v>0.76956281546701721</v>
      </c>
      <c r="S205" s="5">
        <f t="shared" si="22"/>
        <v>-0.11375592515375858</v>
      </c>
      <c r="T205" s="5">
        <f t="shared" si="23"/>
        <v>0</v>
      </c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</row>
    <row r="206" spans="1:37" ht="15" x14ac:dyDescent="0.25">
      <c r="A206" s="8">
        <v>0</v>
      </c>
      <c r="B206" s="8">
        <v>64</v>
      </c>
      <c r="C206" s="8">
        <v>0</v>
      </c>
      <c r="D206" s="8">
        <v>3</v>
      </c>
      <c r="E206" s="8">
        <v>140</v>
      </c>
      <c r="F206" s="8">
        <v>313</v>
      </c>
      <c r="G206" s="8">
        <v>0</v>
      </c>
      <c r="H206" s="8">
        <v>0</v>
      </c>
      <c r="I206" s="8">
        <v>133</v>
      </c>
      <c r="J206" s="8">
        <v>0</v>
      </c>
      <c r="K206" s="8">
        <v>0.2</v>
      </c>
      <c r="L206" s="8">
        <v>1</v>
      </c>
      <c r="M206" s="8">
        <v>0</v>
      </c>
      <c r="N206" s="8">
        <v>7</v>
      </c>
      <c r="O206" s="28">
        <f t="shared" si="18"/>
        <v>-1.3426893976623049</v>
      </c>
      <c r="P206" s="28">
        <f t="shared" si="19"/>
        <v>0.26114240754952983</v>
      </c>
      <c r="Q206" s="28">
        <f t="shared" si="20"/>
        <v>0.20706813599024404</v>
      </c>
      <c r="R206" s="5">
        <f t="shared" si="21"/>
        <v>0.79293186400975602</v>
      </c>
      <c r="S206" s="5">
        <f t="shared" si="22"/>
        <v>-0.10076412965076251</v>
      </c>
      <c r="T206" s="5">
        <f t="shared" si="23"/>
        <v>1</v>
      </c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</row>
    <row r="207" spans="1:37" ht="15" x14ac:dyDescent="0.25">
      <c r="A207" s="8">
        <v>0</v>
      </c>
      <c r="B207" s="8">
        <v>43</v>
      </c>
      <c r="C207" s="8">
        <v>1</v>
      </c>
      <c r="D207" s="8">
        <v>4</v>
      </c>
      <c r="E207" s="8">
        <v>110</v>
      </c>
      <c r="F207" s="8">
        <v>211</v>
      </c>
      <c r="G207" s="8">
        <v>0</v>
      </c>
      <c r="H207" s="8">
        <v>0</v>
      </c>
      <c r="I207" s="8">
        <v>161</v>
      </c>
      <c r="J207" s="8">
        <v>0</v>
      </c>
      <c r="K207" s="8">
        <v>0</v>
      </c>
      <c r="L207" s="8">
        <v>1</v>
      </c>
      <c r="M207" s="8">
        <v>0</v>
      </c>
      <c r="N207" s="8">
        <v>7</v>
      </c>
      <c r="O207" s="28">
        <f t="shared" si="18"/>
        <v>-1.016210815578642</v>
      </c>
      <c r="P207" s="28">
        <f t="shared" si="19"/>
        <v>0.36196389287198055</v>
      </c>
      <c r="Q207" s="28">
        <f t="shared" si="20"/>
        <v>0.26576614458457143</v>
      </c>
      <c r="R207" s="5">
        <f t="shared" si="21"/>
        <v>0.73423385541542863</v>
      </c>
      <c r="S207" s="5">
        <f t="shared" si="22"/>
        <v>-0.13416559411544757</v>
      </c>
      <c r="T207" s="5">
        <f t="shared" si="23"/>
        <v>0</v>
      </c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</row>
    <row r="208" spans="1:37" ht="15" x14ac:dyDescent="0.25">
      <c r="A208" s="8">
        <v>1</v>
      </c>
      <c r="B208" s="8">
        <v>45</v>
      </c>
      <c r="C208" s="8">
        <v>1</v>
      </c>
      <c r="D208" s="8">
        <v>4</v>
      </c>
      <c r="E208" s="8">
        <v>142</v>
      </c>
      <c r="F208" s="8">
        <v>309</v>
      </c>
      <c r="G208" s="8">
        <v>0</v>
      </c>
      <c r="H208" s="8">
        <v>2</v>
      </c>
      <c r="I208" s="8">
        <v>147</v>
      </c>
      <c r="J208" s="8">
        <v>1</v>
      </c>
      <c r="K208" s="8">
        <v>0</v>
      </c>
      <c r="L208" s="8">
        <v>2</v>
      </c>
      <c r="M208" s="8">
        <v>3</v>
      </c>
      <c r="N208" s="8">
        <v>7</v>
      </c>
      <c r="O208" s="28">
        <f t="shared" si="18"/>
        <v>6.2934647575774614</v>
      </c>
      <c r="P208" s="28">
        <f t="shared" si="19"/>
        <v>541.02460455294784</v>
      </c>
      <c r="Q208" s="28">
        <f t="shared" si="20"/>
        <v>0.99815506530220199</v>
      </c>
      <c r="R208" s="5">
        <f t="shared" si="21"/>
        <v>0.99815506530220199</v>
      </c>
      <c r="S208" s="5">
        <f t="shared" si="22"/>
        <v>-8.0198499138644499E-4</v>
      </c>
      <c r="T208" s="5">
        <f t="shared" si="23"/>
        <v>1</v>
      </c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</row>
    <row r="209" spans="1:37" ht="15" x14ac:dyDescent="0.25">
      <c r="A209" s="8">
        <v>1</v>
      </c>
      <c r="B209" s="8">
        <v>58</v>
      </c>
      <c r="C209" s="8">
        <v>1</v>
      </c>
      <c r="D209" s="8">
        <v>4</v>
      </c>
      <c r="E209" s="8">
        <v>128</v>
      </c>
      <c r="F209" s="8">
        <v>259</v>
      </c>
      <c r="G209" s="8">
        <v>0</v>
      </c>
      <c r="H209" s="8">
        <v>2</v>
      </c>
      <c r="I209" s="8">
        <v>130</v>
      </c>
      <c r="J209" s="8">
        <v>1</v>
      </c>
      <c r="K209" s="8">
        <v>3</v>
      </c>
      <c r="L209" s="8">
        <v>2</v>
      </c>
      <c r="M209" s="8">
        <v>2</v>
      </c>
      <c r="N209" s="8">
        <v>7</v>
      </c>
      <c r="O209" s="28">
        <f t="shared" si="18"/>
        <v>5.3486525051023017</v>
      </c>
      <c r="P209" s="28">
        <f t="shared" si="19"/>
        <v>210.32469537925098</v>
      </c>
      <c r="Q209" s="28">
        <f t="shared" si="20"/>
        <v>0.99526794538515551</v>
      </c>
      <c r="R209" s="5">
        <f t="shared" si="21"/>
        <v>0.99526794538515551</v>
      </c>
      <c r="S209" s="5">
        <f t="shared" si="22"/>
        <v>-2.0599830365182004E-3</v>
      </c>
      <c r="T209" s="5">
        <f t="shared" si="23"/>
        <v>1</v>
      </c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</row>
    <row r="210" spans="1:37" ht="15" x14ac:dyDescent="0.25">
      <c r="A210" s="8">
        <v>1</v>
      </c>
      <c r="B210" s="8">
        <v>50</v>
      </c>
      <c r="C210" s="8">
        <v>1</v>
      </c>
      <c r="D210" s="8">
        <v>4</v>
      </c>
      <c r="E210" s="8">
        <v>144</v>
      </c>
      <c r="F210" s="8">
        <v>200</v>
      </c>
      <c r="G210" s="8">
        <v>0</v>
      </c>
      <c r="H210" s="8">
        <v>2</v>
      </c>
      <c r="I210" s="8">
        <v>126</v>
      </c>
      <c r="J210" s="8">
        <v>1</v>
      </c>
      <c r="K210" s="8">
        <v>0.9</v>
      </c>
      <c r="L210" s="8">
        <v>2</v>
      </c>
      <c r="M210" s="8">
        <v>0</v>
      </c>
      <c r="N210" s="8">
        <v>7</v>
      </c>
      <c r="O210" s="28">
        <f t="shared" si="18"/>
        <v>2.5796662724600603</v>
      </c>
      <c r="P210" s="28">
        <f t="shared" si="19"/>
        <v>13.192734646033845</v>
      </c>
      <c r="Q210" s="28">
        <f t="shared" si="20"/>
        <v>0.92954141503100318</v>
      </c>
      <c r="R210" s="5">
        <f t="shared" si="21"/>
        <v>0.92954141503100318</v>
      </c>
      <c r="S210" s="5">
        <f t="shared" si="22"/>
        <v>-3.1731255791229471E-2</v>
      </c>
      <c r="T210" s="5">
        <f t="shared" si="23"/>
        <v>1</v>
      </c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</row>
    <row r="211" spans="1:37" ht="15" x14ac:dyDescent="0.25">
      <c r="A211" s="8">
        <v>0</v>
      </c>
      <c r="B211" s="8">
        <v>55</v>
      </c>
      <c r="C211" s="8">
        <v>1</v>
      </c>
      <c r="D211" s="8">
        <v>2</v>
      </c>
      <c r="E211" s="8">
        <v>130</v>
      </c>
      <c r="F211" s="8">
        <v>262</v>
      </c>
      <c r="G211" s="8">
        <v>0</v>
      </c>
      <c r="H211" s="8">
        <v>0</v>
      </c>
      <c r="I211" s="8">
        <v>155</v>
      </c>
      <c r="J211" s="8">
        <v>0</v>
      </c>
      <c r="K211" s="8">
        <v>0</v>
      </c>
      <c r="L211" s="8">
        <v>1</v>
      </c>
      <c r="M211" s="8">
        <v>0</v>
      </c>
      <c r="N211" s="8">
        <v>3</v>
      </c>
      <c r="O211" s="28">
        <f t="shared" si="18"/>
        <v>-2.8540734419377394</v>
      </c>
      <c r="P211" s="28">
        <f t="shared" si="19"/>
        <v>5.7609174644731427E-2</v>
      </c>
      <c r="Q211" s="28">
        <f t="shared" si="20"/>
        <v>5.4471137378401917E-2</v>
      </c>
      <c r="R211" s="5">
        <f t="shared" si="21"/>
        <v>0.94552886262159808</v>
      </c>
      <c r="S211" s="5">
        <f t="shared" si="22"/>
        <v>-2.4325209615371463E-2</v>
      </c>
      <c r="T211" s="5">
        <f t="shared" si="23"/>
        <v>1</v>
      </c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</row>
    <row r="212" spans="1:37" ht="15" x14ac:dyDescent="0.25">
      <c r="A212" s="8">
        <v>1</v>
      </c>
      <c r="B212" s="8">
        <v>62</v>
      </c>
      <c r="C212" s="8">
        <v>0</v>
      </c>
      <c r="D212" s="8">
        <v>4</v>
      </c>
      <c r="E212" s="8">
        <v>150</v>
      </c>
      <c r="F212" s="8">
        <v>244</v>
      </c>
      <c r="G212" s="8">
        <v>0</v>
      </c>
      <c r="H212" s="8">
        <v>0</v>
      </c>
      <c r="I212" s="8">
        <v>154</v>
      </c>
      <c r="J212" s="8">
        <v>1</v>
      </c>
      <c r="K212" s="8">
        <v>1.4</v>
      </c>
      <c r="L212" s="8">
        <v>2</v>
      </c>
      <c r="M212" s="8">
        <v>0</v>
      </c>
      <c r="N212" s="8">
        <v>3</v>
      </c>
      <c r="O212" s="28">
        <f t="shared" si="18"/>
        <v>-0.85925453490612558</v>
      </c>
      <c r="P212" s="28">
        <f t="shared" si="19"/>
        <v>0.42347765248782715</v>
      </c>
      <c r="Q212" s="28">
        <f t="shared" si="20"/>
        <v>0.29749511820414654</v>
      </c>
      <c r="R212" s="5">
        <f t="shared" si="21"/>
        <v>0.29749511820414654</v>
      </c>
      <c r="S212" s="5">
        <f t="shared" si="22"/>
        <v>-0.52652015650483064</v>
      </c>
      <c r="T212" s="5">
        <f t="shared" si="23"/>
        <v>1</v>
      </c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</row>
    <row r="213" spans="1:37" ht="15" x14ac:dyDescent="0.25">
      <c r="A213" s="8">
        <v>0</v>
      </c>
      <c r="B213" s="8">
        <v>37</v>
      </c>
      <c r="C213" s="8">
        <v>0</v>
      </c>
      <c r="D213" s="8">
        <v>3</v>
      </c>
      <c r="E213" s="8">
        <v>120</v>
      </c>
      <c r="F213" s="8">
        <v>215</v>
      </c>
      <c r="G213" s="8">
        <v>0</v>
      </c>
      <c r="H213" s="8">
        <v>0</v>
      </c>
      <c r="I213" s="8">
        <v>170</v>
      </c>
      <c r="J213" s="8">
        <v>0</v>
      </c>
      <c r="K213" s="8">
        <v>0</v>
      </c>
      <c r="L213" s="8">
        <v>1</v>
      </c>
      <c r="M213" s="8">
        <v>0</v>
      </c>
      <c r="N213" s="8">
        <v>3</v>
      </c>
      <c r="O213" s="28">
        <f t="shared" si="18"/>
        <v>-4.1205857892675999</v>
      </c>
      <c r="P213" s="28">
        <f t="shared" si="19"/>
        <v>1.623500136633324E-2</v>
      </c>
      <c r="Q213" s="28">
        <f t="shared" si="20"/>
        <v>1.5975636879762257E-2</v>
      </c>
      <c r="R213" s="5">
        <f t="shared" si="21"/>
        <v>0.98402436312023778</v>
      </c>
      <c r="S213" s="5">
        <f t="shared" si="22"/>
        <v>-6.9941488880717675E-3</v>
      </c>
      <c r="T213" s="5">
        <f t="shared" si="23"/>
        <v>1</v>
      </c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</row>
    <row r="214" spans="1:37" ht="15" x14ac:dyDescent="0.25">
      <c r="A214" s="8">
        <v>1</v>
      </c>
      <c r="B214" s="8">
        <v>38</v>
      </c>
      <c r="C214" s="8">
        <v>1</v>
      </c>
      <c r="D214" s="8">
        <v>1</v>
      </c>
      <c r="E214" s="8">
        <v>120</v>
      </c>
      <c r="F214" s="8">
        <v>231</v>
      </c>
      <c r="G214" s="8">
        <v>0</v>
      </c>
      <c r="H214" s="8">
        <v>0</v>
      </c>
      <c r="I214" s="8">
        <v>182</v>
      </c>
      <c r="J214" s="8">
        <v>1</v>
      </c>
      <c r="K214" s="8">
        <v>3.8</v>
      </c>
      <c r="L214" s="8">
        <v>2</v>
      </c>
      <c r="M214" s="8">
        <v>0</v>
      </c>
      <c r="N214" s="8">
        <v>7</v>
      </c>
      <c r="O214" s="28">
        <f t="shared" si="18"/>
        <v>-0.3304941292989021</v>
      </c>
      <c r="P214" s="28">
        <f t="shared" si="19"/>
        <v>0.71856857990466938</v>
      </c>
      <c r="Q214" s="28">
        <f t="shared" si="20"/>
        <v>0.4181203987475024</v>
      </c>
      <c r="R214" s="5">
        <f t="shared" si="21"/>
        <v>0.4181203987475024</v>
      </c>
      <c r="S214" s="5">
        <f t="shared" si="22"/>
        <v>-0.37869864410380216</v>
      </c>
      <c r="T214" s="5">
        <f t="shared" si="23"/>
        <v>1</v>
      </c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</row>
    <row r="215" spans="1:37" ht="15" x14ac:dyDescent="0.25">
      <c r="A215" s="8">
        <v>0</v>
      </c>
      <c r="B215" s="8">
        <v>41</v>
      </c>
      <c r="C215" s="8">
        <v>1</v>
      </c>
      <c r="D215" s="8">
        <v>3</v>
      </c>
      <c r="E215" s="8">
        <v>130</v>
      </c>
      <c r="F215" s="8">
        <v>214</v>
      </c>
      <c r="G215" s="8">
        <v>0</v>
      </c>
      <c r="H215" s="8">
        <v>2</v>
      </c>
      <c r="I215" s="8">
        <v>168</v>
      </c>
      <c r="J215" s="8">
        <v>0</v>
      </c>
      <c r="K215" s="8">
        <v>2</v>
      </c>
      <c r="L215" s="8">
        <v>2</v>
      </c>
      <c r="M215" s="8">
        <v>0</v>
      </c>
      <c r="N215" s="8">
        <v>3</v>
      </c>
      <c r="O215" s="28">
        <f t="shared" si="18"/>
        <v>-1.0331917689863213</v>
      </c>
      <c r="P215" s="28">
        <f t="shared" si="19"/>
        <v>0.35586929337575562</v>
      </c>
      <c r="Q215" s="28">
        <f t="shared" si="20"/>
        <v>0.26246578126253989</v>
      </c>
      <c r="R215" s="5">
        <f t="shared" si="21"/>
        <v>0.73753421873746006</v>
      </c>
      <c r="S215" s="5">
        <f t="shared" si="22"/>
        <v>-0.13221782529677623</v>
      </c>
      <c r="T215" s="5">
        <f t="shared" si="23"/>
        <v>0</v>
      </c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</row>
    <row r="216" spans="1:37" ht="15" x14ac:dyDescent="0.25">
      <c r="A216" s="8">
        <v>1</v>
      </c>
      <c r="B216" s="8">
        <v>66</v>
      </c>
      <c r="C216" s="8">
        <v>0</v>
      </c>
      <c r="D216" s="8">
        <v>4</v>
      </c>
      <c r="E216" s="8">
        <v>178</v>
      </c>
      <c r="F216" s="8">
        <v>228</v>
      </c>
      <c r="G216" s="8">
        <v>1</v>
      </c>
      <c r="H216" s="8">
        <v>0</v>
      </c>
      <c r="I216" s="8">
        <v>165</v>
      </c>
      <c r="J216" s="8">
        <v>1</v>
      </c>
      <c r="K216" s="8">
        <v>1</v>
      </c>
      <c r="L216" s="8">
        <v>2</v>
      </c>
      <c r="M216" s="8">
        <v>2</v>
      </c>
      <c r="N216" s="8">
        <v>7</v>
      </c>
      <c r="O216" s="28">
        <f t="shared" si="18"/>
        <v>2.24044988520206</v>
      </c>
      <c r="P216" s="28">
        <f t="shared" si="19"/>
        <v>9.3975581589192227</v>
      </c>
      <c r="Q216" s="28">
        <f t="shared" si="20"/>
        <v>0.90382357235076571</v>
      </c>
      <c r="R216" s="5">
        <f t="shared" si="21"/>
        <v>0.90382357235076571</v>
      </c>
      <c r="S216" s="5">
        <f t="shared" si="22"/>
        <v>-4.3916336153341756E-2</v>
      </c>
      <c r="T216" s="5">
        <f t="shared" si="23"/>
        <v>1</v>
      </c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</row>
    <row r="217" spans="1:37" ht="15" x14ac:dyDescent="0.25">
      <c r="A217" s="8">
        <v>1</v>
      </c>
      <c r="B217" s="8">
        <v>52</v>
      </c>
      <c r="C217" s="8">
        <v>1</v>
      </c>
      <c r="D217" s="8">
        <v>4</v>
      </c>
      <c r="E217" s="8">
        <v>112</v>
      </c>
      <c r="F217" s="8">
        <v>230</v>
      </c>
      <c r="G217" s="8">
        <v>0</v>
      </c>
      <c r="H217" s="8">
        <v>0</v>
      </c>
      <c r="I217" s="8">
        <v>160</v>
      </c>
      <c r="J217" s="8">
        <v>0</v>
      </c>
      <c r="K217" s="8">
        <v>0</v>
      </c>
      <c r="L217" s="8">
        <v>1</v>
      </c>
      <c r="M217" s="8">
        <v>1</v>
      </c>
      <c r="N217" s="8">
        <v>3</v>
      </c>
      <c r="O217" s="28">
        <f t="shared" si="18"/>
        <v>-1.0880104130601591</v>
      </c>
      <c r="P217" s="28">
        <f t="shared" si="19"/>
        <v>0.33688609154224447</v>
      </c>
      <c r="Q217" s="28">
        <f t="shared" si="20"/>
        <v>0.2519931156988921</v>
      </c>
      <c r="R217" s="5">
        <f t="shared" si="21"/>
        <v>0.2519931156988921</v>
      </c>
      <c r="S217" s="5">
        <f t="shared" si="22"/>
        <v>-0.59861132372171988</v>
      </c>
      <c r="T217" s="5">
        <f t="shared" si="23"/>
        <v>0</v>
      </c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</row>
    <row r="218" spans="1:37" ht="15" x14ac:dyDescent="0.25">
      <c r="A218" s="8">
        <v>0</v>
      </c>
      <c r="B218" s="8">
        <v>56</v>
      </c>
      <c r="C218" s="8">
        <v>1</v>
      </c>
      <c r="D218" s="8">
        <v>1</v>
      </c>
      <c r="E218" s="8">
        <v>120</v>
      </c>
      <c r="F218" s="8">
        <v>193</v>
      </c>
      <c r="G218" s="8">
        <v>0</v>
      </c>
      <c r="H218" s="8">
        <v>2</v>
      </c>
      <c r="I218" s="8">
        <v>162</v>
      </c>
      <c r="J218" s="8">
        <v>0</v>
      </c>
      <c r="K218" s="8">
        <v>1.9</v>
      </c>
      <c r="L218" s="8">
        <v>2</v>
      </c>
      <c r="M218" s="8">
        <v>0</v>
      </c>
      <c r="N218" s="8">
        <v>7</v>
      </c>
      <c r="O218" s="28">
        <f t="shared" si="18"/>
        <v>-1.2677055316783381</v>
      </c>
      <c r="P218" s="28">
        <f t="shared" si="19"/>
        <v>0.28147672083493114</v>
      </c>
      <c r="Q218" s="28">
        <f t="shared" si="20"/>
        <v>0.21965028022634564</v>
      </c>
      <c r="R218" s="5">
        <f t="shared" si="21"/>
        <v>0.78034971977365442</v>
      </c>
      <c r="S218" s="5">
        <f t="shared" si="22"/>
        <v>-0.10771072124616145</v>
      </c>
      <c r="T218" s="5">
        <f t="shared" si="23"/>
        <v>1</v>
      </c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</row>
    <row r="219" spans="1:37" ht="15" x14ac:dyDescent="0.25">
      <c r="A219" s="8">
        <v>0</v>
      </c>
      <c r="B219" s="8">
        <v>46</v>
      </c>
      <c r="C219" s="8">
        <v>0</v>
      </c>
      <c r="D219" s="8">
        <v>2</v>
      </c>
      <c r="E219" s="8">
        <v>105</v>
      </c>
      <c r="F219" s="8">
        <v>204</v>
      </c>
      <c r="G219" s="8">
        <v>0</v>
      </c>
      <c r="H219" s="8">
        <v>0</v>
      </c>
      <c r="I219" s="8">
        <v>172</v>
      </c>
      <c r="J219" s="8">
        <v>0</v>
      </c>
      <c r="K219" s="8">
        <v>0</v>
      </c>
      <c r="L219" s="8">
        <v>1</v>
      </c>
      <c r="M219" s="8">
        <v>0</v>
      </c>
      <c r="N219" s="8">
        <v>3</v>
      </c>
      <c r="O219" s="28">
        <f t="shared" si="18"/>
        <v>-5.2808494164889908</v>
      </c>
      <c r="P219" s="28">
        <f t="shared" si="19"/>
        <v>5.0881070346105051E-3</v>
      </c>
      <c r="Q219" s="28">
        <f t="shared" si="20"/>
        <v>5.0623492597304158E-3</v>
      </c>
      <c r="R219" s="5">
        <f t="shared" si="21"/>
        <v>0.99493765074026963</v>
      </c>
      <c r="S219" s="5">
        <f t="shared" si="22"/>
        <v>-2.2041341164592372E-3</v>
      </c>
      <c r="T219" s="5">
        <f t="shared" si="23"/>
        <v>1</v>
      </c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</row>
    <row r="220" spans="1:37" ht="15" x14ac:dyDescent="0.25">
      <c r="A220" s="8">
        <v>0</v>
      </c>
      <c r="B220" s="8">
        <v>46</v>
      </c>
      <c r="C220" s="8">
        <v>0</v>
      </c>
      <c r="D220" s="8">
        <v>4</v>
      </c>
      <c r="E220" s="8">
        <v>138</v>
      </c>
      <c r="F220" s="8">
        <v>243</v>
      </c>
      <c r="G220" s="8">
        <v>0</v>
      </c>
      <c r="H220" s="8">
        <v>2</v>
      </c>
      <c r="I220" s="8">
        <v>152</v>
      </c>
      <c r="J220" s="8">
        <v>1</v>
      </c>
      <c r="K220" s="8">
        <v>0</v>
      </c>
      <c r="L220" s="8">
        <v>2</v>
      </c>
      <c r="M220" s="8">
        <v>0</v>
      </c>
      <c r="N220" s="8">
        <v>3</v>
      </c>
      <c r="O220" s="28">
        <f t="shared" si="18"/>
        <v>-0.74090313397721719</v>
      </c>
      <c r="P220" s="28">
        <f t="shared" si="19"/>
        <v>0.47668321225357696</v>
      </c>
      <c r="Q220" s="28">
        <f t="shared" si="20"/>
        <v>0.3228066848041885</v>
      </c>
      <c r="R220" s="5">
        <f t="shared" si="21"/>
        <v>0.6771933151958115</v>
      </c>
      <c r="S220" s="5">
        <f t="shared" si="22"/>
        <v>-0.1692873376096185</v>
      </c>
      <c r="T220" s="5">
        <f t="shared" si="23"/>
        <v>1</v>
      </c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</row>
    <row r="221" spans="1:37" ht="15" x14ac:dyDescent="0.25">
      <c r="A221" s="8">
        <v>0</v>
      </c>
      <c r="B221" s="8">
        <v>64</v>
      </c>
      <c r="C221" s="8">
        <v>0</v>
      </c>
      <c r="D221" s="8">
        <v>4</v>
      </c>
      <c r="E221" s="8">
        <v>130</v>
      </c>
      <c r="F221" s="8">
        <v>303</v>
      </c>
      <c r="G221" s="8">
        <v>0</v>
      </c>
      <c r="H221" s="8">
        <v>0</v>
      </c>
      <c r="I221" s="8">
        <v>122</v>
      </c>
      <c r="J221" s="8">
        <v>0</v>
      </c>
      <c r="K221" s="8">
        <v>2</v>
      </c>
      <c r="L221" s="8">
        <v>2</v>
      </c>
      <c r="M221" s="8">
        <v>2</v>
      </c>
      <c r="N221" s="8">
        <v>3</v>
      </c>
      <c r="O221" s="28">
        <f t="shared" si="18"/>
        <v>1.3451117672589445</v>
      </c>
      <c r="P221" s="28">
        <f t="shared" si="19"/>
        <v>3.8386155481629585</v>
      </c>
      <c r="Q221" s="28">
        <f t="shared" si="20"/>
        <v>0.79332931288999342</v>
      </c>
      <c r="R221" s="5">
        <f t="shared" si="21"/>
        <v>0.20667068711000658</v>
      </c>
      <c r="S221" s="5">
        <f t="shared" si="22"/>
        <v>-0.68472111664379309</v>
      </c>
      <c r="T221" s="5">
        <f t="shared" si="23"/>
        <v>1</v>
      </c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</row>
    <row r="222" spans="1:37" ht="15" x14ac:dyDescent="0.25">
      <c r="A222" s="8">
        <v>0</v>
      </c>
      <c r="B222" s="8">
        <v>59</v>
      </c>
      <c r="C222" s="8">
        <v>1</v>
      </c>
      <c r="D222" s="8">
        <v>4</v>
      </c>
      <c r="E222" s="8">
        <v>138</v>
      </c>
      <c r="F222" s="8">
        <v>271</v>
      </c>
      <c r="G222" s="8">
        <v>0</v>
      </c>
      <c r="H222" s="8">
        <v>2</v>
      </c>
      <c r="I222" s="8">
        <v>182</v>
      </c>
      <c r="J222" s="8">
        <v>0</v>
      </c>
      <c r="K222" s="8">
        <v>0</v>
      </c>
      <c r="L222" s="8">
        <v>1</v>
      </c>
      <c r="M222" s="8">
        <v>0</v>
      </c>
      <c r="N222" s="8">
        <v>3</v>
      </c>
      <c r="O222" s="28">
        <f t="shared" si="18"/>
        <v>-1.5891004743461066</v>
      </c>
      <c r="P222" s="28">
        <f t="shared" si="19"/>
        <v>0.20410913058103516</v>
      </c>
      <c r="Q222" s="28">
        <f t="shared" si="20"/>
        <v>0.16951049153040107</v>
      </c>
      <c r="R222" s="5">
        <f t="shared" si="21"/>
        <v>0.8304895084695989</v>
      </c>
      <c r="S222" s="5">
        <f t="shared" si="22"/>
        <v>-8.06658495973432E-2</v>
      </c>
      <c r="T222" s="5">
        <f t="shared" si="23"/>
        <v>1</v>
      </c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</row>
    <row r="223" spans="1:37" ht="15" x14ac:dyDescent="0.25">
      <c r="A223" s="8">
        <v>0</v>
      </c>
      <c r="B223" s="8">
        <v>41</v>
      </c>
      <c r="C223" s="8">
        <v>0</v>
      </c>
      <c r="D223" s="8">
        <v>3</v>
      </c>
      <c r="E223" s="8">
        <v>112</v>
      </c>
      <c r="F223" s="8">
        <v>268</v>
      </c>
      <c r="G223" s="8">
        <v>0</v>
      </c>
      <c r="H223" s="8">
        <v>2</v>
      </c>
      <c r="I223" s="8">
        <v>172</v>
      </c>
      <c r="J223" s="8">
        <v>1</v>
      </c>
      <c r="K223" s="8">
        <v>0</v>
      </c>
      <c r="L223" s="8">
        <v>1</v>
      </c>
      <c r="M223" s="8">
        <v>0</v>
      </c>
      <c r="N223" s="8">
        <v>3</v>
      </c>
      <c r="O223" s="28">
        <f t="shared" si="18"/>
        <v>-2.7296338695630809</v>
      </c>
      <c r="P223" s="28">
        <f t="shared" si="19"/>
        <v>6.5243172807054522E-2</v>
      </c>
      <c r="Q223" s="28">
        <f t="shared" si="20"/>
        <v>6.1247210470385144E-2</v>
      </c>
      <c r="R223" s="5">
        <f t="shared" si="21"/>
        <v>0.93875278952961483</v>
      </c>
      <c r="S223" s="5">
        <f t="shared" si="22"/>
        <v>-2.7448759467914897E-2</v>
      </c>
      <c r="T223" s="5">
        <f t="shared" si="23"/>
        <v>0</v>
      </c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</row>
    <row r="224" spans="1:37" ht="15" x14ac:dyDescent="0.25">
      <c r="A224" s="8">
        <v>0</v>
      </c>
      <c r="B224" s="8">
        <v>54</v>
      </c>
      <c r="C224" s="8">
        <v>0</v>
      </c>
      <c r="D224" s="8">
        <v>3</v>
      </c>
      <c r="E224" s="8">
        <v>108</v>
      </c>
      <c r="F224" s="8">
        <v>267</v>
      </c>
      <c r="G224" s="8">
        <v>0</v>
      </c>
      <c r="H224" s="8">
        <v>2</v>
      </c>
      <c r="I224" s="8">
        <v>167</v>
      </c>
      <c r="J224" s="8">
        <v>0</v>
      </c>
      <c r="K224" s="8">
        <v>0</v>
      </c>
      <c r="L224" s="8">
        <v>1</v>
      </c>
      <c r="M224" s="8">
        <v>0</v>
      </c>
      <c r="N224" s="8">
        <v>3</v>
      </c>
      <c r="O224" s="28">
        <f t="shared" si="18"/>
        <v>-3.8377224924124871</v>
      </c>
      <c r="P224" s="28">
        <f t="shared" si="19"/>
        <v>2.1542608971673323E-2</v>
      </c>
      <c r="Q224" s="28">
        <f t="shared" si="20"/>
        <v>2.1088311718449999E-2</v>
      </c>
      <c r="R224" s="5">
        <f t="shared" si="21"/>
        <v>0.97891168828154995</v>
      </c>
      <c r="S224" s="5">
        <f t="shared" si="22"/>
        <v>-9.2564859516769699E-3</v>
      </c>
      <c r="T224" s="5">
        <f t="shared" si="23"/>
        <v>1</v>
      </c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</row>
    <row r="225" spans="1:37" ht="15" x14ac:dyDescent="0.25">
      <c r="A225" s="8">
        <v>0</v>
      </c>
      <c r="B225" s="8">
        <v>39</v>
      </c>
      <c r="C225" s="8">
        <v>0</v>
      </c>
      <c r="D225" s="8">
        <v>3</v>
      </c>
      <c r="E225" s="8">
        <v>94</v>
      </c>
      <c r="F225" s="8">
        <v>199</v>
      </c>
      <c r="G225" s="8">
        <v>0</v>
      </c>
      <c r="H225" s="8">
        <v>0</v>
      </c>
      <c r="I225" s="8">
        <v>179</v>
      </c>
      <c r="J225" s="8">
        <v>0</v>
      </c>
      <c r="K225" s="8">
        <v>0</v>
      </c>
      <c r="L225" s="8">
        <v>1</v>
      </c>
      <c r="M225" s="8">
        <v>0</v>
      </c>
      <c r="N225" s="8">
        <v>3</v>
      </c>
      <c r="O225" s="28">
        <f t="shared" si="18"/>
        <v>-5.0399411491638269</v>
      </c>
      <c r="P225" s="28">
        <f t="shared" si="19"/>
        <v>6.4741293150019884E-3</v>
      </c>
      <c r="Q225" s="28">
        <f t="shared" si="20"/>
        <v>6.4324845780270859E-3</v>
      </c>
      <c r="R225" s="5">
        <f t="shared" si="21"/>
        <v>0.99356751542197297</v>
      </c>
      <c r="S225" s="5">
        <f t="shared" si="22"/>
        <v>-2.8026161445574693E-3</v>
      </c>
      <c r="T225" s="5">
        <f t="shared" si="23"/>
        <v>1</v>
      </c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</row>
    <row r="226" spans="1:37" ht="15" x14ac:dyDescent="0.25">
      <c r="A226" s="8">
        <v>1</v>
      </c>
      <c r="B226" s="8">
        <v>53</v>
      </c>
      <c r="C226" s="8">
        <v>1</v>
      </c>
      <c r="D226" s="8">
        <v>4</v>
      </c>
      <c r="E226" s="8">
        <v>123</v>
      </c>
      <c r="F226" s="8">
        <v>282</v>
      </c>
      <c r="G226" s="8">
        <v>0</v>
      </c>
      <c r="H226" s="8">
        <v>0</v>
      </c>
      <c r="I226" s="8">
        <v>95</v>
      </c>
      <c r="J226" s="8">
        <v>1</v>
      </c>
      <c r="K226" s="8">
        <v>2</v>
      </c>
      <c r="L226" s="8">
        <v>2</v>
      </c>
      <c r="M226" s="8">
        <v>2</v>
      </c>
      <c r="N226" s="8">
        <v>7</v>
      </c>
      <c r="O226" s="28">
        <f t="shared" si="18"/>
        <v>5.39956852713535</v>
      </c>
      <c r="P226" s="28">
        <f t="shared" si="19"/>
        <v>221.31090595005881</v>
      </c>
      <c r="Q226" s="28">
        <f t="shared" si="20"/>
        <v>0.99550179512909431</v>
      </c>
      <c r="R226" s="5">
        <f t="shared" si="21"/>
        <v>0.99550179512909431</v>
      </c>
      <c r="S226" s="5">
        <f t="shared" si="22"/>
        <v>-1.9579524984932439E-3</v>
      </c>
      <c r="T226" s="5">
        <f t="shared" si="23"/>
        <v>1</v>
      </c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</row>
    <row r="227" spans="1:37" ht="15" x14ac:dyDescent="0.25">
      <c r="A227" s="8">
        <v>1</v>
      </c>
      <c r="B227" s="8">
        <v>63</v>
      </c>
      <c r="C227" s="8">
        <v>0</v>
      </c>
      <c r="D227" s="8">
        <v>4</v>
      </c>
      <c r="E227" s="8">
        <v>108</v>
      </c>
      <c r="F227" s="8">
        <v>269</v>
      </c>
      <c r="G227" s="8">
        <v>0</v>
      </c>
      <c r="H227" s="8">
        <v>0</v>
      </c>
      <c r="I227" s="8">
        <v>169</v>
      </c>
      <c r="J227" s="8">
        <v>1</v>
      </c>
      <c r="K227" s="8">
        <v>1.8</v>
      </c>
      <c r="L227" s="8">
        <v>2</v>
      </c>
      <c r="M227" s="8">
        <v>2</v>
      </c>
      <c r="N227" s="8">
        <v>3</v>
      </c>
      <c r="O227" s="28">
        <f t="shared" si="18"/>
        <v>0.56604790500424773</v>
      </c>
      <c r="P227" s="28">
        <f t="shared" si="19"/>
        <v>1.7612924832246799</v>
      </c>
      <c r="Q227" s="28">
        <f t="shared" si="20"/>
        <v>0.63785075066289809</v>
      </c>
      <c r="R227" s="5">
        <f t="shared" si="21"/>
        <v>0.63785075066289809</v>
      </c>
      <c r="S227" s="5">
        <f t="shared" si="22"/>
        <v>-0.19528092903161451</v>
      </c>
      <c r="T227" s="5">
        <f t="shared" si="23"/>
        <v>0</v>
      </c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</row>
    <row r="228" spans="1:37" ht="15" x14ac:dyDescent="0.25">
      <c r="A228" s="8">
        <v>0</v>
      </c>
      <c r="B228" s="8">
        <v>34</v>
      </c>
      <c r="C228" s="8">
        <v>0</v>
      </c>
      <c r="D228" s="8">
        <v>2</v>
      </c>
      <c r="E228" s="8">
        <v>118</v>
      </c>
      <c r="F228" s="8">
        <v>210</v>
      </c>
      <c r="G228" s="8">
        <v>0</v>
      </c>
      <c r="H228" s="8">
        <v>0</v>
      </c>
      <c r="I228" s="8">
        <v>192</v>
      </c>
      <c r="J228" s="8">
        <v>0</v>
      </c>
      <c r="K228" s="8">
        <v>0.7</v>
      </c>
      <c r="L228" s="8">
        <v>1</v>
      </c>
      <c r="M228" s="8">
        <v>0</v>
      </c>
      <c r="N228" s="8">
        <v>3</v>
      </c>
      <c r="O228" s="28">
        <f t="shared" si="18"/>
        <v>-5.008504691787488</v>
      </c>
      <c r="P228" s="28">
        <f t="shared" si="19"/>
        <v>6.6808858243646132E-3</v>
      </c>
      <c r="Q228" s="28">
        <f t="shared" si="20"/>
        <v>6.6365478062034309E-3</v>
      </c>
      <c r="R228" s="5">
        <f t="shared" si="21"/>
        <v>0.99336345219379651</v>
      </c>
      <c r="S228" s="5">
        <f t="shared" si="22"/>
        <v>-2.8918225998520266E-3</v>
      </c>
      <c r="T228" s="5">
        <f t="shared" si="23"/>
        <v>0</v>
      </c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</row>
    <row r="229" spans="1:37" ht="15" x14ac:dyDescent="0.25">
      <c r="A229" s="8">
        <v>0</v>
      </c>
      <c r="B229" s="8">
        <v>47</v>
      </c>
      <c r="C229" s="8">
        <v>1</v>
      </c>
      <c r="D229" s="8">
        <v>4</v>
      </c>
      <c r="E229" s="8">
        <v>112</v>
      </c>
      <c r="F229" s="8">
        <v>204</v>
      </c>
      <c r="G229" s="8">
        <v>0</v>
      </c>
      <c r="H229" s="8">
        <v>0</v>
      </c>
      <c r="I229" s="8">
        <v>143</v>
      </c>
      <c r="J229" s="8">
        <v>0</v>
      </c>
      <c r="K229" s="8">
        <v>0.1</v>
      </c>
      <c r="L229" s="8">
        <v>1</v>
      </c>
      <c r="M229" s="8">
        <v>0</v>
      </c>
      <c r="N229" s="8">
        <v>3</v>
      </c>
      <c r="O229" s="28">
        <f t="shared" si="18"/>
        <v>-2.0388280638050844</v>
      </c>
      <c r="P229" s="28">
        <f t="shared" si="19"/>
        <v>0.13018118555892985</v>
      </c>
      <c r="Q229" s="28">
        <f t="shared" si="20"/>
        <v>0.11518611990921516</v>
      </c>
      <c r="R229" s="5">
        <f t="shared" si="21"/>
        <v>0.88481388009078488</v>
      </c>
      <c r="S229" s="5">
        <f t="shared" si="22"/>
        <v>-5.3148073200820337E-2</v>
      </c>
      <c r="T229" s="5">
        <f t="shared" si="23"/>
        <v>0</v>
      </c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</row>
    <row r="230" spans="1:37" ht="15" x14ac:dyDescent="0.25">
      <c r="A230" s="8">
        <v>0</v>
      </c>
      <c r="B230" s="8">
        <v>67</v>
      </c>
      <c r="C230" s="8">
        <v>0</v>
      </c>
      <c r="D230" s="8">
        <v>3</v>
      </c>
      <c r="E230" s="8">
        <v>152</v>
      </c>
      <c r="F230" s="8">
        <v>277</v>
      </c>
      <c r="G230" s="8">
        <v>0</v>
      </c>
      <c r="H230" s="8">
        <v>0</v>
      </c>
      <c r="I230" s="8">
        <v>172</v>
      </c>
      <c r="J230" s="8">
        <v>0</v>
      </c>
      <c r="K230" s="8">
        <v>0</v>
      </c>
      <c r="L230" s="8">
        <v>1</v>
      </c>
      <c r="M230" s="8">
        <v>1</v>
      </c>
      <c r="N230" s="8">
        <v>3</v>
      </c>
      <c r="O230" s="28">
        <f t="shared" si="18"/>
        <v>-2.2397787284441311</v>
      </c>
      <c r="P230" s="28">
        <f t="shared" si="19"/>
        <v>0.10648206322450735</v>
      </c>
      <c r="Q230" s="28">
        <f t="shared" si="20"/>
        <v>9.623478478647686E-2</v>
      </c>
      <c r="R230" s="5">
        <f t="shared" si="21"/>
        <v>0.90376521521352315</v>
      </c>
      <c r="S230" s="5">
        <f t="shared" si="22"/>
        <v>-4.3944378131547508E-2</v>
      </c>
      <c r="T230" s="5">
        <f t="shared" si="23"/>
        <v>1</v>
      </c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</row>
    <row r="231" spans="1:37" ht="15" x14ac:dyDescent="0.25">
      <c r="A231" s="8">
        <v>1</v>
      </c>
      <c r="B231" s="8">
        <v>54</v>
      </c>
      <c r="C231" s="8">
        <v>1</v>
      </c>
      <c r="D231" s="8">
        <v>4</v>
      </c>
      <c r="E231" s="8">
        <v>110</v>
      </c>
      <c r="F231" s="8">
        <v>206</v>
      </c>
      <c r="G231" s="8">
        <v>0</v>
      </c>
      <c r="H231" s="8">
        <v>2</v>
      </c>
      <c r="I231" s="8">
        <v>108</v>
      </c>
      <c r="J231" s="8">
        <v>1</v>
      </c>
      <c r="K231" s="8">
        <v>0</v>
      </c>
      <c r="L231" s="8">
        <v>2</v>
      </c>
      <c r="M231" s="8">
        <v>1</v>
      </c>
      <c r="N231" s="8">
        <v>3</v>
      </c>
      <c r="O231" s="28">
        <f t="shared" si="18"/>
        <v>1.7767416925187716</v>
      </c>
      <c r="P231" s="28">
        <f t="shared" si="19"/>
        <v>5.9105665662609184</v>
      </c>
      <c r="Q231" s="28">
        <f t="shared" si="20"/>
        <v>0.85529406447189937</v>
      </c>
      <c r="R231" s="5">
        <f t="shared" si="21"/>
        <v>0.85529406447189937</v>
      </c>
      <c r="S231" s="5">
        <f t="shared" si="22"/>
        <v>-6.78845418561176E-2</v>
      </c>
      <c r="T231" s="5">
        <f t="shared" si="23"/>
        <v>1</v>
      </c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</row>
    <row r="232" spans="1:37" ht="15" x14ac:dyDescent="0.25">
      <c r="A232" s="8">
        <v>1</v>
      </c>
      <c r="B232" s="8">
        <v>66</v>
      </c>
      <c r="C232" s="8">
        <v>1</v>
      </c>
      <c r="D232" s="8">
        <v>4</v>
      </c>
      <c r="E232" s="8">
        <v>112</v>
      </c>
      <c r="F232" s="8">
        <v>212</v>
      </c>
      <c r="G232" s="8">
        <v>0</v>
      </c>
      <c r="H232" s="8">
        <v>2</v>
      </c>
      <c r="I232" s="8">
        <v>132</v>
      </c>
      <c r="J232" s="8">
        <v>1</v>
      </c>
      <c r="K232" s="8">
        <v>0.1</v>
      </c>
      <c r="L232" s="8">
        <v>1</v>
      </c>
      <c r="M232" s="8">
        <v>1</v>
      </c>
      <c r="N232" s="8">
        <v>3</v>
      </c>
      <c r="O232" s="28">
        <f t="shared" si="18"/>
        <v>0.64368504916649538</v>
      </c>
      <c r="P232" s="28">
        <f t="shared" si="19"/>
        <v>1.9034823971340868</v>
      </c>
      <c r="Q232" s="28">
        <f t="shared" si="20"/>
        <v>0.65558599529066863</v>
      </c>
      <c r="R232" s="5">
        <f t="shared" si="21"/>
        <v>0.65558599529066863</v>
      </c>
      <c r="S232" s="5">
        <f t="shared" si="22"/>
        <v>-0.18337033245502668</v>
      </c>
      <c r="T232" s="5">
        <f t="shared" si="23"/>
        <v>0</v>
      </c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</row>
    <row r="233" spans="1:37" ht="15" x14ac:dyDescent="0.25">
      <c r="A233" s="8">
        <v>0</v>
      </c>
      <c r="B233" s="8">
        <v>52</v>
      </c>
      <c r="C233" s="8">
        <v>0</v>
      </c>
      <c r="D233" s="8">
        <v>3</v>
      </c>
      <c r="E233" s="8">
        <v>136</v>
      </c>
      <c r="F233" s="8">
        <v>196</v>
      </c>
      <c r="G233" s="8">
        <v>0</v>
      </c>
      <c r="H233" s="8">
        <v>2</v>
      </c>
      <c r="I233" s="8">
        <v>169</v>
      </c>
      <c r="J233" s="8">
        <v>0</v>
      </c>
      <c r="K233" s="8">
        <v>0.1</v>
      </c>
      <c r="L233" s="8">
        <v>2</v>
      </c>
      <c r="M233" s="8">
        <v>0</v>
      </c>
      <c r="N233" s="8">
        <v>3</v>
      </c>
      <c r="O233" s="28">
        <f t="shared" si="18"/>
        <v>-2.9373117896230596</v>
      </c>
      <c r="P233" s="28">
        <f t="shared" si="19"/>
        <v>5.3008034126642879E-2</v>
      </c>
      <c r="Q233" s="28">
        <f t="shared" si="20"/>
        <v>5.0339629336833461E-2</v>
      </c>
      <c r="R233" s="5">
        <f t="shared" si="21"/>
        <v>0.94966037066316655</v>
      </c>
      <c r="S233" s="5">
        <f t="shared" si="22"/>
        <v>-2.2431684731124887E-2</v>
      </c>
      <c r="T233" s="5">
        <f t="shared" si="23"/>
        <v>1</v>
      </c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</row>
    <row r="234" spans="1:37" ht="15" x14ac:dyDescent="0.25">
      <c r="A234" s="8">
        <v>1</v>
      </c>
      <c r="B234" s="8">
        <v>55</v>
      </c>
      <c r="C234" s="8">
        <v>0</v>
      </c>
      <c r="D234" s="8">
        <v>4</v>
      </c>
      <c r="E234" s="8">
        <v>180</v>
      </c>
      <c r="F234" s="8">
        <v>327</v>
      </c>
      <c r="G234" s="8">
        <v>0</v>
      </c>
      <c r="H234" s="8">
        <v>1</v>
      </c>
      <c r="I234" s="8">
        <v>117</v>
      </c>
      <c r="J234" s="8">
        <v>1</v>
      </c>
      <c r="K234" s="8">
        <v>3.4</v>
      </c>
      <c r="L234" s="8">
        <v>2</v>
      </c>
      <c r="M234" s="8">
        <v>0</v>
      </c>
      <c r="N234" s="8">
        <v>3</v>
      </c>
      <c r="O234" s="28">
        <f t="shared" si="18"/>
        <v>1.8801567507877701</v>
      </c>
      <c r="P234" s="28">
        <f t="shared" si="19"/>
        <v>6.5545322097576193</v>
      </c>
      <c r="Q234" s="28">
        <f t="shared" si="20"/>
        <v>0.86762913013880916</v>
      </c>
      <c r="R234" s="5">
        <f t="shared" si="21"/>
        <v>0.86762913013880916</v>
      </c>
      <c r="S234" s="5">
        <f t="shared" si="22"/>
        <v>-6.1665875230730957E-2</v>
      </c>
      <c r="T234" s="5">
        <f t="shared" si="23"/>
        <v>0</v>
      </c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</row>
    <row r="235" spans="1:37" ht="15" x14ac:dyDescent="0.25">
      <c r="A235" s="8">
        <v>1</v>
      </c>
      <c r="B235" s="8">
        <v>49</v>
      </c>
      <c r="C235" s="8">
        <v>1</v>
      </c>
      <c r="D235" s="8">
        <v>3</v>
      </c>
      <c r="E235" s="8">
        <v>118</v>
      </c>
      <c r="F235" s="8">
        <v>149</v>
      </c>
      <c r="G235" s="8">
        <v>0</v>
      </c>
      <c r="H235" s="8">
        <v>2</v>
      </c>
      <c r="I235" s="8">
        <v>126</v>
      </c>
      <c r="J235" s="8">
        <v>0</v>
      </c>
      <c r="K235" s="8">
        <v>0.8</v>
      </c>
      <c r="L235" s="8">
        <v>1</v>
      </c>
      <c r="M235" s="8">
        <v>3</v>
      </c>
      <c r="N235" s="8">
        <v>3</v>
      </c>
      <c r="O235" s="28">
        <f t="shared" si="18"/>
        <v>2.0444240372051565</v>
      </c>
      <c r="P235" s="28">
        <f t="shared" si="19"/>
        <v>7.7247081119195231</v>
      </c>
      <c r="Q235" s="28">
        <f t="shared" si="20"/>
        <v>0.88538298506126312</v>
      </c>
      <c r="R235" s="5">
        <f t="shared" si="21"/>
        <v>0.88538298506126312</v>
      </c>
      <c r="S235" s="5">
        <f t="shared" si="22"/>
        <v>-5.2868828375927449E-2</v>
      </c>
      <c r="T235" s="5">
        <f t="shared" si="23"/>
        <v>1</v>
      </c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</row>
    <row r="236" spans="1:37" ht="15" x14ac:dyDescent="0.25">
      <c r="A236" s="8">
        <v>0</v>
      </c>
      <c r="B236" s="8">
        <v>74</v>
      </c>
      <c r="C236" s="8">
        <v>0</v>
      </c>
      <c r="D236" s="8">
        <v>2</v>
      </c>
      <c r="E236" s="8">
        <v>120</v>
      </c>
      <c r="F236" s="8">
        <v>269</v>
      </c>
      <c r="G236" s="8">
        <v>0</v>
      </c>
      <c r="H236" s="8">
        <v>2</v>
      </c>
      <c r="I236" s="8">
        <v>121</v>
      </c>
      <c r="J236" s="8">
        <v>1</v>
      </c>
      <c r="K236" s="8">
        <v>0.2</v>
      </c>
      <c r="L236" s="8">
        <v>1</v>
      </c>
      <c r="M236" s="8">
        <v>1</v>
      </c>
      <c r="N236" s="8">
        <v>3</v>
      </c>
      <c r="O236" s="28">
        <f t="shared" si="18"/>
        <v>-1.2044101017235072</v>
      </c>
      <c r="P236" s="28">
        <f t="shared" si="19"/>
        <v>0.29986883946089998</v>
      </c>
      <c r="Q236" s="28">
        <f t="shared" si="20"/>
        <v>0.23069161315172834</v>
      </c>
      <c r="R236" s="5">
        <f t="shared" si="21"/>
        <v>0.76930838684827163</v>
      </c>
      <c r="S236" s="5">
        <f t="shared" si="22"/>
        <v>-0.11389953294367636</v>
      </c>
      <c r="T236" s="5">
        <f t="shared" si="23"/>
        <v>1</v>
      </c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</row>
    <row r="237" spans="1:37" ht="15" x14ac:dyDescent="0.25">
      <c r="A237" s="8">
        <v>0</v>
      </c>
      <c r="B237" s="8">
        <v>54</v>
      </c>
      <c r="C237" s="8">
        <v>0</v>
      </c>
      <c r="D237" s="8">
        <v>3</v>
      </c>
      <c r="E237" s="8">
        <v>160</v>
      </c>
      <c r="F237" s="8">
        <v>201</v>
      </c>
      <c r="G237" s="8">
        <v>0</v>
      </c>
      <c r="H237" s="8">
        <v>0</v>
      </c>
      <c r="I237" s="8">
        <v>163</v>
      </c>
      <c r="J237" s="8">
        <v>0</v>
      </c>
      <c r="K237" s="8">
        <v>0</v>
      </c>
      <c r="L237" s="8">
        <v>1</v>
      </c>
      <c r="M237" s="8">
        <v>1</v>
      </c>
      <c r="N237" s="8">
        <v>3</v>
      </c>
      <c r="O237" s="28">
        <f t="shared" si="18"/>
        <v>-2.0570367558119917</v>
      </c>
      <c r="P237" s="28">
        <f t="shared" si="19"/>
        <v>0.12783220725841549</v>
      </c>
      <c r="Q237" s="28">
        <f t="shared" si="20"/>
        <v>0.11334328496359905</v>
      </c>
      <c r="R237" s="5">
        <f t="shared" si="21"/>
        <v>0.88665671503640098</v>
      </c>
      <c r="S237" s="5">
        <f t="shared" si="22"/>
        <v>-5.2244492482239571E-2</v>
      </c>
      <c r="T237" s="5">
        <f t="shared" si="23"/>
        <v>0</v>
      </c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</row>
    <row r="238" spans="1:37" ht="15" x14ac:dyDescent="0.25">
      <c r="A238" s="8">
        <v>1</v>
      </c>
      <c r="B238" s="8">
        <v>54</v>
      </c>
      <c r="C238" s="8">
        <v>1</v>
      </c>
      <c r="D238" s="8">
        <v>4</v>
      </c>
      <c r="E238" s="8">
        <v>122</v>
      </c>
      <c r="F238" s="8">
        <v>286</v>
      </c>
      <c r="G238" s="8">
        <v>0</v>
      </c>
      <c r="H238" s="8">
        <v>2</v>
      </c>
      <c r="I238" s="8">
        <v>116</v>
      </c>
      <c r="J238" s="8">
        <v>1</v>
      </c>
      <c r="K238" s="8">
        <v>3.2</v>
      </c>
      <c r="L238" s="8">
        <v>2</v>
      </c>
      <c r="M238" s="8">
        <v>2</v>
      </c>
      <c r="N238" s="8">
        <v>3</v>
      </c>
      <c r="O238" s="28">
        <f t="shared" si="18"/>
        <v>4.3588505822020016</v>
      </c>
      <c r="P238" s="28">
        <f t="shared" si="19"/>
        <v>78.167235955304974</v>
      </c>
      <c r="Q238" s="28">
        <f t="shared" si="20"/>
        <v>0.98736851188584418</v>
      </c>
      <c r="R238" s="5">
        <f t="shared" si="21"/>
        <v>0.98736851188584418</v>
      </c>
      <c r="S238" s="5">
        <f t="shared" si="22"/>
        <v>-5.5207269567522487E-3</v>
      </c>
      <c r="T238" s="5">
        <f t="shared" si="23"/>
        <v>1</v>
      </c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</row>
    <row r="239" spans="1:37" ht="15" x14ac:dyDescent="0.25">
      <c r="A239" s="8">
        <v>1</v>
      </c>
      <c r="B239" s="8">
        <v>56</v>
      </c>
      <c r="C239" s="8">
        <v>1</v>
      </c>
      <c r="D239" s="8">
        <v>4</v>
      </c>
      <c r="E239" s="8">
        <v>130</v>
      </c>
      <c r="F239" s="8">
        <v>283</v>
      </c>
      <c r="G239" s="8">
        <v>1</v>
      </c>
      <c r="H239" s="8">
        <v>2</v>
      </c>
      <c r="I239" s="8">
        <v>103</v>
      </c>
      <c r="J239" s="8">
        <v>1</v>
      </c>
      <c r="K239" s="8">
        <v>1.6</v>
      </c>
      <c r="L239" s="8">
        <v>3</v>
      </c>
      <c r="M239" s="8">
        <v>0</v>
      </c>
      <c r="N239" s="8">
        <v>7</v>
      </c>
      <c r="O239" s="28">
        <f t="shared" si="18"/>
        <v>2.7691419163607387</v>
      </c>
      <c r="P239" s="28">
        <f t="shared" si="19"/>
        <v>15.944946040596356</v>
      </c>
      <c r="Q239" s="28">
        <f t="shared" si="20"/>
        <v>0.94098535353230273</v>
      </c>
      <c r="R239" s="5">
        <f t="shared" si="21"/>
        <v>0.94098535353230273</v>
      </c>
      <c r="S239" s="5">
        <f t="shared" si="22"/>
        <v>-2.641713632790111E-2</v>
      </c>
      <c r="T239" s="5">
        <f t="shared" si="23"/>
        <v>1</v>
      </c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</row>
    <row r="240" spans="1:37" ht="15" x14ac:dyDescent="0.25">
      <c r="A240" s="8">
        <v>1</v>
      </c>
      <c r="B240" s="8">
        <v>46</v>
      </c>
      <c r="C240" s="8">
        <v>1</v>
      </c>
      <c r="D240" s="8">
        <v>4</v>
      </c>
      <c r="E240" s="8">
        <v>120</v>
      </c>
      <c r="F240" s="8">
        <v>249</v>
      </c>
      <c r="G240" s="8">
        <v>0</v>
      </c>
      <c r="H240" s="8">
        <v>2</v>
      </c>
      <c r="I240" s="8">
        <v>144</v>
      </c>
      <c r="J240" s="8">
        <v>0</v>
      </c>
      <c r="K240" s="8">
        <v>0.8</v>
      </c>
      <c r="L240" s="8">
        <v>1</v>
      </c>
      <c r="M240" s="8">
        <v>0</v>
      </c>
      <c r="N240" s="8">
        <v>7</v>
      </c>
      <c r="O240" s="28">
        <f t="shared" si="18"/>
        <v>0.41106253119228242</v>
      </c>
      <c r="P240" s="28">
        <f t="shared" si="19"/>
        <v>1.5084196768899041</v>
      </c>
      <c r="Q240" s="28">
        <f t="shared" si="20"/>
        <v>0.60134262650982606</v>
      </c>
      <c r="R240" s="5">
        <f t="shared" si="21"/>
        <v>0.60134262650982606</v>
      </c>
      <c r="S240" s="5">
        <f t="shared" si="22"/>
        <v>-0.2208780098550634</v>
      </c>
      <c r="T240" s="5">
        <f t="shared" si="23"/>
        <v>1</v>
      </c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</row>
    <row r="241" spans="1:37" ht="15" x14ac:dyDescent="0.25">
      <c r="A241" s="8">
        <v>0</v>
      </c>
      <c r="B241" s="8">
        <v>49</v>
      </c>
      <c r="C241" s="8">
        <v>0</v>
      </c>
      <c r="D241" s="8">
        <v>2</v>
      </c>
      <c r="E241" s="8">
        <v>134</v>
      </c>
      <c r="F241" s="8">
        <v>271</v>
      </c>
      <c r="G241" s="8">
        <v>0</v>
      </c>
      <c r="H241" s="8">
        <v>0</v>
      </c>
      <c r="I241" s="8">
        <v>162</v>
      </c>
      <c r="J241" s="8">
        <v>0</v>
      </c>
      <c r="K241" s="8">
        <v>0</v>
      </c>
      <c r="L241" s="8">
        <v>2</v>
      </c>
      <c r="M241" s="8">
        <v>0</v>
      </c>
      <c r="N241" s="8">
        <v>3</v>
      </c>
      <c r="O241" s="28">
        <f t="shared" si="18"/>
        <v>-3.5146647683201486</v>
      </c>
      <c r="P241" s="28">
        <f t="shared" si="19"/>
        <v>2.9757777031773739E-2</v>
      </c>
      <c r="Q241" s="28">
        <f t="shared" si="20"/>
        <v>2.8897841507494186E-2</v>
      </c>
      <c r="R241" s="5">
        <f t="shared" si="21"/>
        <v>0.97110215849250581</v>
      </c>
      <c r="S241" s="5">
        <f t="shared" si="22"/>
        <v>-1.2735080559730588E-2</v>
      </c>
      <c r="T241" s="5">
        <f t="shared" si="23"/>
        <v>1</v>
      </c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</row>
    <row r="242" spans="1:37" ht="15" x14ac:dyDescent="0.25">
      <c r="A242" s="8">
        <v>0</v>
      </c>
      <c r="B242" s="8">
        <v>42</v>
      </c>
      <c r="C242" s="8">
        <v>1</v>
      </c>
      <c r="D242" s="8">
        <v>2</v>
      </c>
      <c r="E242" s="8">
        <v>120</v>
      </c>
      <c r="F242" s="8">
        <v>295</v>
      </c>
      <c r="G242" s="8">
        <v>0</v>
      </c>
      <c r="H242" s="8">
        <v>0</v>
      </c>
      <c r="I242" s="8">
        <v>162</v>
      </c>
      <c r="J242" s="8">
        <v>0</v>
      </c>
      <c r="K242" s="8">
        <v>0</v>
      </c>
      <c r="L242" s="8">
        <v>1</v>
      </c>
      <c r="M242" s="8">
        <v>0</v>
      </c>
      <c r="N242" s="8">
        <v>3</v>
      </c>
      <c r="O242" s="28">
        <f t="shared" si="18"/>
        <v>-2.890279120946591</v>
      </c>
      <c r="P242" s="28">
        <f t="shared" si="19"/>
        <v>5.5560702291139352E-2</v>
      </c>
      <c r="Q242" s="28">
        <f t="shared" si="20"/>
        <v>5.2636198155674503E-2</v>
      </c>
      <c r="R242" s="5">
        <f t="shared" si="21"/>
        <v>0.94736380184432545</v>
      </c>
      <c r="S242" s="5">
        <f t="shared" si="22"/>
        <v>-2.3483213401178874E-2</v>
      </c>
      <c r="T242" s="5">
        <f t="shared" si="23"/>
        <v>1</v>
      </c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</row>
    <row r="243" spans="1:37" ht="15" x14ac:dyDescent="0.25">
      <c r="A243" s="8">
        <v>0</v>
      </c>
      <c r="B243" s="8">
        <v>41</v>
      </c>
      <c r="C243" s="8">
        <v>1</v>
      </c>
      <c r="D243" s="8">
        <v>2</v>
      </c>
      <c r="E243" s="8">
        <v>110</v>
      </c>
      <c r="F243" s="8">
        <v>235</v>
      </c>
      <c r="G243" s="8">
        <v>0</v>
      </c>
      <c r="H243" s="8">
        <v>0</v>
      </c>
      <c r="I243" s="8">
        <v>153</v>
      </c>
      <c r="J243" s="8">
        <v>0</v>
      </c>
      <c r="K243" s="8">
        <v>0</v>
      </c>
      <c r="L243" s="8">
        <v>1</v>
      </c>
      <c r="M243" s="8">
        <v>0</v>
      </c>
      <c r="N243" s="8">
        <v>3</v>
      </c>
      <c r="O243" s="28">
        <f t="shared" si="18"/>
        <v>-3.2303079558250785</v>
      </c>
      <c r="P243" s="28">
        <f t="shared" si="19"/>
        <v>3.9545318701781872E-2</v>
      </c>
      <c r="Q243" s="28">
        <f t="shared" si="20"/>
        <v>3.8040976175206444E-2</v>
      </c>
      <c r="R243" s="5">
        <f t="shared" si="21"/>
        <v>0.96195902382479359</v>
      </c>
      <c r="S243" s="5">
        <f t="shared" si="22"/>
        <v>-1.6843427032659921E-2</v>
      </c>
      <c r="T243" s="5">
        <f t="shared" si="23"/>
        <v>1</v>
      </c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</row>
    <row r="244" spans="1:37" ht="15" x14ac:dyDescent="0.25">
      <c r="A244" s="8">
        <v>0</v>
      </c>
      <c r="B244" s="8">
        <v>41</v>
      </c>
      <c r="C244" s="8">
        <v>0</v>
      </c>
      <c r="D244" s="8">
        <v>2</v>
      </c>
      <c r="E244" s="8">
        <v>126</v>
      </c>
      <c r="F244" s="8">
        <v>306</v>
      </c>
      <c r="G244" s="8">
        <v>0</v>
      </c>
      <c r="H244" s="8">
        <v>0</v>
      </c>
      <c r="I244" s="8">
        <v>163</v>
      </c>
      <c r="J244" s="8">
        <v>0</v>
      </c>
      <c r="K244" s="8">
        <v>0</v>
      </c>
      <c r="L244" s="8">
        <v>1</v>
      </c>
      <c r="M244" s="8">
        <v>0</v>
      </c>
      <c r="N244" s="8">
        <v>3</v>
      </c>
      <c r="O244" s="28">
        <f t="shared" si="18"/>
        <v>-4.0096793100941284</v>
      </c>
      <c r="P244" s="28">
        <f t="shared" si="19"/>
        <v>1.8139211366149835E-2</v>
      </c>
      <c r="Q244" s="28">
        <f t="shared" si="20"/>
        <v>1.7816042407217035E-2</v>
      </c>
      <c r="R244" s="5">
        <f t="shared" si="21"/>
        <v>0.98218395759278299</v>
      </c>
      <c r="S244" s="5">
        <f t="shared" si="22"/>
        <v>-7.8071636536400854E-3</v>
      </c>
      <c r="T244" s="5">
        <f t="shared" si="23"/>
        <v>1</v>
      </c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</row>
    <row r="245" spans="1:37" ht="15" x14ac:dyDescent="0.25">
      <c r="A245" s="8">
        <v>0</v>
      </c>
      <c r="B245" s="8">
        <v>49</v>
      </c>
      <c r="C245" s="8">
        <v>0</v>
      </c>
      <c r="D245" s="8">
        <v>4</v>
      </c>
      <c r="E245" s="8">
        <v>130</v>
      </c>
      <c r="F245" s="8">
        <v>269</v>
      </c>
      <c r="G245" s="8">
        <v>0</v>
      </c>
      <c r="H245" s="8">
        <v>0</v>
      </c>
      <c r="I245" s="8">
        <v>163</v>
      </c>
      <c r="J245" s="8">
        <v>0</v>
      </c>
      <c r="K245" s="8">
        <v>0</v>
      </c>
      <c r="L245" s="8">
        <v>1</v>
      </c>
      <c r="M245" s="8">
        <v>0</v>
      </c>
      <c r="N245" s="8">
        <v>3</v>
      </c>
      <c r="O245" s="28">
        <f t="shared" si="18"/>
        <v>-3.0597510383881046</v>
      </c>
      <c r="P245" s="28">
        <f t="shared" si="19"/>
        <v>4.6899369909382961E-2</v>
      </c>
      <c r="Q245" s="28">
        <f t="shared" si="20"/>
        <v>4.4798355274053188E-2</v>
      </c>
      <c r="R245" s="5">
        <f t="shared" si="21"/>
        <v>0.95520164472594682</v>
      </c>
      <c r="S245" s="5">
        <f t="shared" si="22"/>
        <v>-1.9904938418655056E-2</v>
      </c>
      <c r="T245" s="5">
        <f t="shared" si="23"/>
        <v>0</v>
      </c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</row>
    <row r="246" spans="1:37" ht="15" x14ac:dyDescent="0.25">
      <c r="A246" s="8">
        <v>1</v>
      </c>
      <c r="B246" s="8">
        <v>61</v>
      </c>
      <c r="C246" s="8">
        <v>1</v>
      </c>
      <c r="D246" s="8">
        <v>1</v>
      </c>
      <c r="E246" s="8">
        <v>134</v>
      </c>
      <c r="F246" s="8">
        <v>234</v>
      </c>
      <c r="G246" s="8">
        <v>0</v>
      </c>
      <c r="H246" s="8">
        <v>0</v>
      </c>
      <c r="I246" s="8">
        <v>145</v>
      </c>
      <c r="J246" s="8">
        <v>0</v>
      </c>
      <c r="K246" s="8">
        <v>2.6</v>
      </c>
      <c r="L246" s="8">
        <v>2</v>
      </c>
      <c r="M246" s="8">
        <v>2</v>
      </c>
      <c r="N246" s="8">
        <v>3</v>
      </c>
      <c r="O246" s="28">
        <f t="shared" si="18"/>
        <v>0.39667352864830985</v>
      </c>
      <c r="P246" s="28">
        <f t="shared" si="19"/>
        <v>1.486870430205586</v>
      </c>
      <c r="Q246" s="28">
        <f t="shared" si="20"/>
        <v>0.5978881779066666</v>
      </c>
      <c r="R246" s="5">
        <f t="shared" si="21"/>
        <v>0.5978881779066666</v>
      </c>
      <c r="S246" s="5">
        <f t="shared" si="22"/>
        <v>-0.22338003383634616</v>
      </c>
      <c r="T246" s="5">
        <f t="shared" si="23"/>
        <v>0</v>
      </c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</row>
    <row r="247" spans="1:37" ht="15" x14ac:dyDescent="0.25">
      <c r="A247" s="8">
        <v>0</v>
      </c>
      <c r="B247" s="8">
        <v>60</v>
      </c>
      <c r="C247" s="8">
        <v>0</v>
      </c>
      <c r="D247" s="8">
        <v>3</v>
      </c>
      <c r="E247" s="8">
        <v>120</v>
      </c>
      <c r="F247" s="8">
        <v>178</v>
      </c>
      <c r="G247" s="8">
        <v>1</v>
      </c>
      <c r="H247" s="8">
        <v>0</v>
      </c>
      <c r="I247" s="8">
        <v>96</v>
      </c>
      <c r="J247" s="8">
        <v>0</v>
      </c>
      <c r="K247" s="8">
        <v>0</v>
      </c>
      <c r="L247" s="8">
        <v>1</v>
      </c>
      <c r="M247" s="8">
        <v>0</v>
      </c>
      <c r="N247" s="8">
        <v>3</v>
      </c>
      <c r="O247" s="28">
        <f t="shared" si="18"/>
        <v>-4.1240087320537357</v>
      </c>
      <c r="P247" s="28">
        <f t="shared" si="19"/>
        <v>1.6179524886098366E-2</v>
      </c>
      <c r="Q247" s="28">
        <f t="shared" si="20"/>
        <v>1.5921915852331211E-2</v>
      </c>
      <c r="R247" s="5">
        <f t="shared" si="21"/>
        <v>0.98407808414766884</v>
      </c>
      <c r="S247" s="5">
        <f t="shared" si="22"/>
        <v>-6.9704400147723453E-3</v>
      </c>
      <c r="T247" s="5">
        <f t="shared" si="23"/>
        <v>0</v>
      </c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</row>
    <row r="248" spans="1:37" ht="15" x14ac:dyDescent="0.25">
      <c r="A248" s="8">
        <v>1</v>
      </c>
      <c r="B248" s="8">
        <v>67</v>
      </c>
      <c r="C248" s="8">
        <v>1</v>
      </c>
      <c r="D248" s="8">
        <v>4</v>
      </c>
      <c r="E248" s="8">
        <v>120</v>
      </c>
      <c r="F248" s="8">
        <v>237</v>
      </c>
      <c r="G248" s="8">
        <v>0</v>
      </c>
      <c r="H248" s="8">
        <v>0</v>
      </c>
      <c r="I248" s="8">
        <v>71</v>
      </c>
      <c r="J248" s="8">
        <v>0</v>
      </c>
      <c r="K248" s="8">
        <v>1</v>
      </c>
      <c r="L248" s="8">
        <v>2</v>
      </c>
      <c r="M248" s="8">
        <v>0</v>
      </c>
      <c r="N248" s="8">
        <v>3</v>
      </c>
      <c r="O248" s="28">
        <f t="shared" si="18"/>
        <v>0.31559170147686455</v>
      </c>
      <c r="P248" s="28">
        <f t="shared" si="19"/>
        <v>1.3710703353334757</v>
      </c>
      <c r="Q248" s="28">
        <f t="shared" si="20"/>
        <v>0.5782495419481698</v>
      </c>
      <c r="R248" s="5">
        <f t="shared" si="21"/>
        <v>0.5782495419481698</v>
      </c>
      <c r="S248" s="5">
        <f t="shared" si="22"/>
        <v>-0.23788470257716324</v>
      </c>
      <c r="T248" s="5">
        <f t="shared" si="23"/>
        <v>0</v>
      </c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</row>
    <row r="249" spans="1:37" ht="15" x14ac:dyDescent="0.25">
      <c r="A249" s="8">
        <v>1</v>
      </c>
      <c r="B249" s="8">
        <v>58</v>
      </c>
      <c r="C249" s="8">
        <v>1</v>
      </c>
      <c r="D249" s="8">
        <v>4</v>
      </c>
      <c r="E249" s="8">
        <v>100</v>
      </c>
      <c r="F249" s="8">
        <v>234</v>
      </c>
      <c r="G249" s="8">
        <v>0</v>
      </c>
      <c r="H249" s="8">
        <v>0</v>
      </c>
      <c r="I249" s="8">
        <v>156</v>
      </c>
      <c r="J249" s="8">
        <v>0</v>
      </c>
      <c r="K249" s="8">
        <v>0.1</v>
      </c>
      <c r="L249" s="8">
        <v>1</v>
      </c>
      <c r="M249" s="8">
        <v>1</v>
      </c>
      <c r="N249" s="8">
        <v>7</v>
      </c>
      <c r="O249" s="28">
        <f t="shared" si="18"/>
        <v>4.1641955150634402E-2</v>
      </c>
      <c r="P249" s="28">
        <f t="shared" si="19"/>
        <v>1.0425211425937471</v>
      </c>
      <c r="Q249" s="28">
        <f t="shared" si="20"/>
        <v>0.51040898468736295</v>
      </c>
      <c r="R249" s="5">
        <f t="shared" si="21"/>
        <v>0.51040898468736295</v>
      </c>
      <c r="S249" s="5">
        <f t="shared" si="22"/>
        <v>-0.29208168936957463</v>
      </c>
      <c r="T249" s="5">
        <f t="shared" si="23"/>
        <v>0</v>
      </c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</row>
    <row r="250" spans="1:37" ht="15" x14ac:dyDescent="0.25">
      <c r="A250" s="8">
        <v>1</v>
      </c>
      <c r="B250" s="8">
        <v>47</v>
      </c>
      <c r="C250" s="8">
        <v>1</v>
      </c>
      <c r="D250" s="8">
        <v>4</v>
      </c>
      <c r="E250" s="8">
        <v>110</v>
      </c>
      <c r="F250" s="8">
        <v>275</v>
      </c>
      <c r="G250" s="8">
        <v>0</v>
      </c>
      <c r="H250" s="8">
        <v>2</v>
      </c>
      <c r="I250" s="8">
        <v>118</v>
      </c>
      <c r="J250" s="8">
        <v>1</v>
      </c>
      <c r="K250" s="8">
        <v>1</v>
      </c>
      <c r="L250" s="8">
        <v>2</v>
      </c>
      <c r="M250" s="8">
        <v>1</v>
      </c>
      <c r="N250" s="8">
        <v>3</v>
      </c>
      <c r="O250" s="28">
        <f t="shared" si="18"/>
        <v>2.2612309976913769</v>
      </c>
      <c r="P250" s="28">
        <f t="shared" si="19"/>
        <v>9.5948931912777784</v>
      </c>
      <c r="Q250" s="28">
        <f t="shared" si="20"/>
        <v>0.90561490503526287</v>
      </c>
      <c r="R250" s="5">
        <f t="shared" si="21"/>
        <v>0.90561490503526287</v>
      </c>
      <c r="S250" s="5">
        <f t="shared" si="22"/>
        <v>-4.3056438274512186E-2</v>
      </c>
      <c r="T250" s="5">
        <f t="shared" si="23"/>
        <v>1</v>
      </c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</row>
    <row r="251" spans="1:37" ht="15" x14ac:dyDescent="0.25">
      <c r="A251" s="8">
        <v>1</v>
      </c>
      <c r="B251" s="8">
        <v>52</v>
      </c>
      <c r="C251" s="8">
        <v>1</v>
      </c>
      <c r="D251" s="8">
        <v>4</v>
      </c>
      <c r="E251" s="8">
        <v>125</v>
      </c>
      <c r="F251" s="8">
        <v>212</v>
      </c>
      <c r="G251" s="8">
        <v>0</v>
      </c>
      <c r="H251" s="8">
        <v>0</v>
      </c>
      <c r="I251" s="8">
        <v>168</v>
      </c>
      <c r="J251" s="8">
        <v>0</v>
      </c>
      <c r="K251" s="8">
        <v>1</v>
      </c>
      <c r="L251" s="8">
        <v>1</v>
      </c>
      <c r="M251" s="8">
        <v>2</v>
      </c>
      <c r="N251" s="8">
        <v>7</v>
      </c>
      <c r="O251" s="28">
        <f t="shared" si="18"/>
        <v>1.8602161856119688</v>
      </c>
      <c r="P251" s="28">
        <f t="shared" si="19"/>
        <v>6.425125641015593</v>
      </c>
      <c r="Q251" s="28">
        <f t="shared" si="20"/>
        <v>0.86532214425085174</v>
      </c>
      <c r="R251" s="5">
        <f t="shared" si="21"/>
        <v>0.86532214425085174</v>
      </c>
      <c r="S251" s="5">
        <f t="shared" si="22"/>
        <v>-6.2822182217135397E-2</v>
      </c>
      <c r="T251" s="5">
        <f t="shared" si="23"/>
        <v>0</v>
      </c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</row>
    <row r="252" spans="1:37" ht="15" x14ac:dyDescent="0.25">
      <c r="A252" s="8">
        <v>0</v>
      </c>
      <c r="B252" s="8">
        <v>62</v>
      </c>
      <c r="C252" s="8">
        <v>1</v>
      </c>
      <c r="D252" s="8">
        <v>2</v>
      </c>
      <c r="E252" s="8">
        <v>128</v>
      </c>
      <c r="F252" s="8">
        <v>208</v>
      </c>
      <c r="G252" s="8">
        <v>1</v>
      </c>
      <c r="H252" s="8">
        <v>2</v>
      </c>
      <c r="I252" s="8">
        <v>140</v>
      </c>
      <c r="J252" s="8">
        <v>0</v>
      </c>
      <c r="K252" s="8">
        <v>0</v>
      </c>
      <c r="L252" s="8">
        <v>1</v>
      </c>
      <c r="M252" s="8">
        <v>0</v>
      </c>
      <c r="N252" s="8">
        <v>3</v>
      </c>
      <c r="O252" s="28">
        <f t="shared" si="18"/>
        <v>-3.4927052958244387</v>
      </c>
      <c r="P252" s="28">
        <f t="shared" si="19"/>
        <v>3.0418469800741345E-2</v>
      </c>
      <c r="Q252" s="28">
        <f t="shared" si="20"/>
        <v>2.9520501322752458E-2</v>
      </c>
      <c r="R252" s="5">
        <f t="shared" si="21"/>
        <v>0.97047949867724759</v>
      </c>
      <c r="S252" s="5">
        <f t="shared" si="22"/>
        <v>-1.3013634624290771E-2</v>
      </c>
      <c r="T252" s="5">
        <f t="shared" si="23"/>
        <v>1</v>
      </c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</row>
    <row r="253" spans="1:37" ht="15" x14ac:dyDescent="0.25">
      <c r="A253" s="8">
        <v>0</v>
      </c>
      <c r="B253" s="8">
        <v>57</v>
      </c>
      <c r="C253" s="8">
        <v>1</v>
      </c>
      <c r="D253" s="8">
        <v>4</v>
      </c>
      <c r="E253" s="8">
        <v>110</v>
      </c>
      <c r="F253" s="8">
        <v>201</v>
      </c>
      <c r="G253" s="8">
        <v>0</v>
      </c>
      <c r="H253" s="8">
        <v>0</v>
      </c>
      <c r="I253" s="8">
        <v>126</v>
      </c>
      <c r="J253" s="8">
        <v>1</v>
      </c>
      <c r="K253" s="8">
        <v>1.5</v>
      </c>
      <c r="L253" s="8">
        <v>2</v>
      </c>
      <c r="M253" s="8">
        <v>0</v>
      </c>
      <c r="N253" s="8">
        <v>6</v>
      </c>
      <c r="O253" s="28">
        <f t="shared" si="18"/>
        <v>0.98216785531001261</v>
      </c>
      <c r="P253" s="28">
        <f t="shared" si="19"/>
        <v>2.6702386630033077</v>
      </c>
      <c r="Q253" s="28">
        <f t="shared" si="20"/>
        <v>0.72753815437666569</v>
      </c>
      <c r="R253" s="5">
        <f t="shared" si="21"/>
        <v>0.27246184562333431</v>
      </c>
      <c r="S253" s="5">
        <f t="shared" si="22"/>
        <v>-0.56469430584753766</v>
      </c>
      <c r="T253" s="5">
        <f t="shared" si="23"/>
        <v>1</v>
      </c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</row>
    <row r="254" spans="1:37" ht="15" x14ac:dyDescent="0.25">
      <c r="A254" s="8">
        <v>1</v>
      </c>
      <c r="B254" s="8">
        <v>58</v>
      </c>
      <c r="C254" s="8">
        <v>1</v>
      </c>
      <c r="D254" s="8">
        <v>4</v>
      </c>
      <c r="E254" s="8">
        <v>146</v>
      </c>
      <c r="F254" s="8">
        <v>218</v>
      </c>
      <c r="G254" s="8">
        <v>0</v>
      </c>
      <c r="H254" s="8">
        <v>0</v>
      </c>
      <c r="I254" s="8">
        <v>105</v>
      </c>
      <c r="J254" s="8">
        <v>0</v>
      </c>
      <c r="K254" s="8">
        <v>2</v>
      </c>
      <c r="L254" s="8">
        <v>2</v>
      </c>
      <c r="M254" s="8">
        <v>1</v>
      </c>
      <c r="N254" s="8">
        <v>7</v>
      </c>
      <c r="O254" s="28">
        <f t="shared" si="18"/>
        <v>3.1616034941671645</v>
      </c>
      <c r="P254" s="28">
        <f t="shared" si="19"/>
        <v>23.608421560642022</v>
      </c>
      <c r="Q254" s="28">
        <f t="shared" si="20"/>
        <v>0.95936350498809031</v>
      </c>
      <c r="R254" s="5">
        <f t="shared" si="21"/>
        <v>0.95936350498809031</v>
      </c>
      <c r="S254" s="5">
        <f t="shared" si="22"/>
        <v>-1.8016806491084156E-2</v>
      </c>
      <c r="T254" s="5">
        <f t="shared" si="23"/>
        <v>1</v>
      </c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</row>
    <row r="255" spans="1:37" ht="15" x14ac:dyDescent="0.25">
      <c r="A255" s="8">
        <v>0</v>
      </c>
      <c r="B255" s="8">
        <v>64</v>
      </c>
      <c r="C255" s="8">
        <v>1</v>
      </c>
      <c r="D255" s="8">
        <v>4</v>
      </c>
      <c r="E255" s="8">
        <v>128</v>
      </c>
      <c r="F255" s="8">
        <v>263</v>
      </c>
      <c r="G255" s="8">
        <v>0</v>
      </c>
      <c r="H255" s="8">
        <v>0</v>
      </c>
      <c r="I255" s="8">
        <v>105</v>
      </c>
      <c r="J255" s="8">
        <v>1</v>
      </c>
      <c r="K255" s="8">
        <v>0.2</v>
      </c>
      <c r="L255" s="8">
        <v>2</v>
      </c>
      <c r="M255" s="8">
        <v>1</v>
      </c>
      <c r="N255" s="8">
        <v>7</v>
      </c>
      <c r="O255" s="28">
        <f t="shared" si="18"/>
        <v>3.3495676104826435</v>
      </c>
      <c r="P255" s="28">
        <f t="shared" si="19"/>
        <v>28.490412024585165</v>
      </c>
      <c r="Q255" s="28">
        <f t="shared" si="20"/>
        <v>0.96609067383777703</v>
      </c>
      <c r="R255" s="5">
        <f t="shared" si="21"/>
        <v>3.3909326162222975E-2</v>
      </c>
      <c r="S255" s="5">
        <f t="shared" si="22"/>
        <v>-1.4696808403291362</v>
      </c>
      <c r="T255" s="5">
        <f t="shared" si="23"/>
        <v>1</v>
      </c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</row>
    <row r="256" spans="1:37" ht="15" x14ac:dyDescent="0.25">
      <c r="A256" s="8">
        <v>0</v>
      </c>
      <c r="B256" s="8">
        <v>51</v>
      </c>
      <c r="C256" s="8">
        <v>0</v>
      </c>
      <c r="D256" s="8">
        <v>3</v>
      </c>
      <c r="E256" s="8">
        <v>120</v>
      </c>
      <c r="F256" s="8">
        <v>295</v>
      </c>
      <c r="G256" s="8">
        <v>0</v>
      </c>
      <c r="H256" s="8">
        <v>2</v>
      </c>
      <c r="I256" s="8">
        <v>157</v>
      </c>
      <c r="J256" s="8">
        <v>0</v>
      </c>
      <c r="K256" s="8">
        <v>0.6</v>
      </c>
      <c r="L256" s="8">
        <v>1</v>
      </c>
      <c r="M256" s="8">
        <v>0</v>
      </c>
      <c r="N256" s="8">
        <v>3</v>
      </c>
      <c r="O256" s="28">
        <f t="shared" si="18"/>
        <v>-3.0118194433885153</v>
      </c>
      <c r="P256" s="28">
        <f t="shared" si="19"/>
        <v>4.9202076878926075E-2</v>
      </c>
      <c r="Q256" s="28">
        <f t="shared" si="20"/>
        <v>4.6894757419169507E-2</v>
      </c>
      <c r="R256" s="5">
        <f t="shared" si="21"/>
        <v>0.95310524258083051</v>
      </c>
      <c r="S256" s="5">
        <f t="shared" si="22"/>
        <v>-2.0859141598228683E-2</v>
      </c>
      <c r="T256" s="5">
        <f t="shared" si="23"/>
        <v>0</v>
      </c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</row>
    <row r="257" spans="1:37" ht="15" x14ac:dyDescent="0.25">
      <c r="A257" s="8">
        <v>0</v>
      </c>
      <c r="B257" s="8">
        <v>43</v>
      </c>
      <c r="C257" s="8">
        <v>1</v>
      </c>
      <c r="D257" s="8">
        <v>4</v>
      </c>
      <c r="E257" s="8">
        <v>115</v>
      </c>
      <c r="F257" s="8">
        <v>303</v>
      </c>
      <c r="G257" s="8">
        <v>0</v>
      </c>
      <c r="H257" s="8">
        <v>0</v>
      </c>
      <c r="I257" s="8">
        <v>181</v>
      </c>
      <c r="J257" s="8">
        <v>0</v>
      </c>
      <c r="K257" s="8">
        <v>1.2</v>
      </c>
      <c r="L257" s="8">
        <v>2</v>
      </c>
      <c r="M257" s="8">
        <v>0</v>
      </c>
      <c r="N257" s="8">
        <v>3</v>
      </c>
      <c r="O257" s="28">
        <f t="shared" si="18"/>
        <v>-1.3585552229701774</v>
      </c>
      <c r="P257" s="28">
        <f t="shared" si="19"/>
        <v>0.25703186255197941</v>
      </c>
      <c r="Q257" s="28">
        <f t="shared" si="20"/>
        <v>0.20447521674602812</v>
      </c>
      <c r="R257" s="5">
        <f t="shared" si="21"/>
        <v>0.79552478325397191</v>
      </c>
      <c r="S257" s="5">
        <f t="shared" si="22"/>
        <v>-9.9346286083035654E-2</v>
      </c>
      <c r="T257" s="5">
        <f t="shared" si="23"/>
        <v>1</v>
      </c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</row>
    <row r="258" spans="1:37" ht="15" x14ac:dyDescent="0.25">
      <c r="A258" s="8">
        <v>0</v>
      </c>
      <c r="B258" s="8">
        <v>42</v>
      </c>
      <c r="C258" s="8">
        <v>0</v>
      </c>
      <c r="D258" s="8">
        <v>3</v>
      </c>
      <c r="E258" s="8">
        <v>120</v>
      </c>
      <c r="F258" s="8">
        <v>209</v>
      </c>
      <c r="G258" s="8">
        <v>0</v>
      </c>
      <c r="H258" s="8">
        <v>0</v>
      </c>
      <c r="I258" s="8">
        <v>173</v>
      </c>
      <c r="J258" s="8">
        <v>0</v>
      </c>
      <c r="K258" s="8">
        <v>0</v>
      </c>
      <c r="L258" s="8">
        <v>2</v>
      </c>
      <c r="M258" s="8">
        <v>0</v>
      </c>
      <c r="N258" s="8">
        <v>3</v>
      </c>
      <c r="O258" s="28">
        <f t="shared" si="18"/>
        <v>-3.7132521325136434</v>
      </c>
      <c r="P258" s="28">
        <f t="shared" si="19"/>
        <v>2.4398048423782098E-2</v>
      </c>
      <c r="Q258" s="28">
        <f t="shared" si="20"/>
        <v>2.3816961054663098E-2</v>
      </c>
      <c r="R258" s="5">
        <f t="shared" si="21"/>
        <v>0.97618303894533687</v>
      </c>
      <c r="S258" s="5">
        <f t="shared" si="22"/>
        <v>-1.046874242467228E-2</v>
      </c>
      <c r="T258" s="5">
        <f t="shared" si="23"/>
        <v>1</v>
      </c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</row>
    <row r="259" spans="1:37" ht="15" x14ac:dyDescent="0.25">
      <c r="A259" s="8">
        <v>0</v>
      </c>
      <c r="B259" s="8">
        <v>67</v>
      </c>
      <c r="C259" s="8">
        <v>0</v>
      </c>
      <c r="D259" s="8">
        <v>4</v>
      </c>
      <c r="E259" s="8">
        <v>106</v>
      </c>
      <c r="F259" s="8">
        <v>223</v>
      </c>
      <c r="G259" s="8">
        <v>0</v>
      </c>
      <c r="H259" s="8">
        <v>0</v>
      </c>
      <c r="I259" s="8">
        <v>142</v>
      </c>
      <c r="J259" s="8">
        <v>0</v>
      </c>
      <c r="K259" s="8">
        <v>0.3</v>
      </c>
      <c r="L259" s="8">
        <v>1</v>
      </c>
      <c r="M259" s="8">
        <v>2</v>
      </c>
      <c r="N259" s="8">
        <v>3</v>
      </c>
      <c r="O259" s="28">
        <f t="shared" si="18"/>
        <v>-1.0778566014561735</v>
      </c>
      <c r="P259" s="28">
        <f t="shared" si="19"/>
        <v>0.34032419483536896</v>
      </c>
      <c r="Q259" s="28">
        <f t="shared" si="20"/>
        <v>0.25391184919792537</v>
      </c>
      <c r="R259" s="5">
        <f t="shared" si="21"/>
        <v>0.74608815080207469</v>
      </c>
      <c r="S259" s="5">
        <f t="shared" si="22"/>
        <v>-0.12720985731925807</v>
      </c>
      <c r="T259" s="5">
        <f t="shared" si="23"/>
        <v>1</v>
      </c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</row>
    <row r="260" spans="1:37" ht="15" x14ac:dyDescent="0.25">
      <c r="A260" s="8">
        <v>0</v>
      </c>
      <c r="B260" s="8">
        <v>76</v>
      </c>
      <c r="C260" s="8">
        <v>0</v>
      </c>
      <c r="D260" s="8">
        <v>3</v>
      </c>
      <c r="E260" s="8">
        <v>140</v>
      </c>
      <c r="F260" s="8">
        <v>197</v>
      </c>
      <c r="G260" s="8">
        <v>0</v>
      </c>
      <c r="H260" s="8">
        <v>1</v>
      </c>
      <c r="I260" s="8">
        <v>116</v>
      </c>
      <c r="J260" s="8">
        <v>0</v>
      </c>
      <c r="K260" s="8">
        <v>1.1000000000000001</v>
      </c>
      <c r="L260" s="8">
        <v>2</v>
      </c>
      <c r="M260" s="8">
        <v>0</v>
      </c>
      <c r="N260" s="8">
        <v>3</v>
      </c>
      <c r="O260" s="28">
        <f t="shared" si="18"/>
        <v>-2.0786312430363507</v>
      </c>
      <c r="P260" s="28">
        <f t="shared" si="19"/>
        <v>0.12510132837801508</v>
      </c>
      <c r="Q260" s="28">
        <f t="shared" si="20"/>
        <v>0.11119116582891735</v>
      </c>
      <c r="R260" s="5">
        <f t="shared" si="21"/>
        <v>0.8888088341710827</v>
      </c>
      <c r="S260" s="5">
        <f t="shared" si="22"/>
        <v>-5.1191637446254337E-2</v>
      </c>
      <c r="T260" s="5">
        <f t="shared" si="23"/>
        <v>0</v>
      </c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</row>
    <row r="261" spans="1:37" ht="15" x14ac:dyDescent="0.25">
      <c r="A261" s="8">
        <v>0</v>
      </c>
      <c r="B261" s="8">
        <v>70</v>
      </c>
      <c r="C261" s="8">
        <v>1</v>
      </c>
      <c r="D261" s="8">
        <v>2</v>
      </c>
      <c r="E261" s="8">
        <v>156</v>
      </c>
      <c r="F261" s="8">
        <v>245</v>
      </c>
      <c r="G261" s="8">
        <v>0</v>
      </c>
      <c r="H261" s="8">
        <v>2</v>
      </c>
      <c r="I261" s="8">
        <v>143</v>
      </c>
      <c r="J261" s="8">
        <v>0</v>
      </c>
      <c r="K261" s="8">
        <v>0</v>
      </c>
      <c r="L261" s="8">
        <v>1</v>
      </c>
      <c r="M261" s="8">
        <v>0</v>
      </c>
      <c r="N261" s="8">
        <v>3</v>
      </c>
      <c r="O261" s="28">
        <f t="shared" si="18"/>
        <v>-1.7878902172387621</v>
      </c>
      <c r="P261" s="28">
        <f t="shared" si="19"/>
        <v>0.16731279120143625</v>
      </c>
      <c r="Q261" s="28">
        <f t="shared" si="20"/>
        <v>0.14333158384157899</v>
      </c>
      <c r="R261" s="5">
        <f t="shared" si="21"/>
        <v>0.85666841615842104</v>
      </c>
      <c r="S261" s="5">
        <f t="shared" si="22"/>
        <v>-6.7187244469489413E-2</v>
      </c>
      <c r="T261" s="5">
        <f t="shared" si="23"/>
        <v>1</v>
      </c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</row>
    <row r="262" spans="1:37" ht="15" x14ac:dyDescent="0.25">
      <c r="A262" s="8">
        <v>1</v>
      </c>
      <c r="B262" s="8">
        <v>57</v>
      </c>
      <c r="C262" s="8">
        <v>1</v>
      </c>
      <c r="D262" s="8">
        <v>2</v>
      </c>
      <c r="E262" s="8">
        <v>124</v>
      </c>
      <c r="F262" s="8">
        <v>261</v>
      </c>
      <c r="G262" s="8">
        <v>0</v>
      </c>
      <c r="H262" s="8">
        <v>0</v>
      </c>
      <c r="I262" s="8">
        <v>141</v>
      </c>
      <c r="J262" s="8">
        <v>0</v>
      </c>
      <c r="K262" s="8">
        <v>0.3</v>
      </c>
      <c r="L262" s="8">
        <v>1</v>
      </c>
      <c r="M262" s="8">
        <v>0</v>
      </c>
      <c r="N262" s="8">
        <v>7</v>
      </c>
      <c r="O262" s="28">
        <f t="shared" si="18"/>
        <v>-1.2924063018920151</v>
      </c>
      <c r="P262" s="28">
        <f t="shared" si="19"/>
        <v>0.27460919479340384</v>
      </c>
      <c r="Q262" s="28">
        <f t="shared" si="20"/>
        <v>0.21544579775129749</v>
      </c>
      <c r="R262" s="5">
        <f t="shared" si="21"/>
        <v>0.21544579775129749</v>
      </c>
      <c r="S262" s="5">
        <f t="shared" si="22"/>
        <v>-0.66666197236336611</v>
      </c>
      <c r="T262" s="5">
        <f t="shared" si="23"/>
        <v>0</v>
      </c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</row>
    <row r="263" spans="1:37" ht="15" x14ac:dyDescent="0.25">
      <c r="A263" s="8">
        <v>0</v>
      </c>
      <c r="B263" s="8">
        <v>44</v>
      </c>
      <c r="C263" s="8">
        <v>0</v>
      </c>
      <c r="D263" s="8">
        <v>3</v>
      </c>
      <c r="E263" s="8">
        <v>118</v>
      </c>
      <c r="F263" s="8">
        <v>242</v>
      </c>
      <c r="G263" s="8">
        <v>0</v>
      </c>
      <c r="H263" s="8">
        <v>0</v>
      </c>
      <c r="I263" s="8">
        <v>149</v>
      </c>
      <c r="J263" s="8">
        <v>0</v>
      </c>
      <c r="K263" s="8">
        <v>0.3</v>
      </c>
      <c r="L263" s="8">
        <v>2</v>
      </c>
      <c r="M263" s="8">
        <v>1</v>
      </c>
      <c r="N263" s="8">
        <v>3</v>
      </c>
      <c r="O263" s="28">
        <f t="shared" ref="O263:O302" si="24">$A$3+SUMPRODUCT($B$3:$N$3,B263:N263)</f>
        <v>-1.7869975614046343</v>
      </c>
      <c r="P263" s="28">
        <f t="shared" ref="P263:P302" si="25">EXP(O263)</f>
        <v>0.16746221062076275</v>
      </c>
      <c r="Q263" s="28">
        <f t="shared" ref="Q263:Q302" si="26">P263/(P263+1)</f>
        <v>0.14344122584637645</v>
      </c>
      <c r="R263" s="5">
        <f t="shared" ref="R263:R302" si="27">IF(A263=1,Q263,1-Q263)</f>
        <v>0.85655877415362358</v>
      </c>
      <c r="S263" s="5">
        <f t="shared" ref="S263:S302" si="28">LOG(R263)</f>
        <v>-6.7242831863855587E-2</v>
      </c>
      <c r="T263" s="5">
        <f t="shared" ref="T263:T302" si="29">IF(Q259&gt;Q$2,1,0)</f>
        <v>1</v>
      </c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</row>
    <row r="264" spans="1:37" ht="15" x14ac:dyDescent="0.25">
      <c r="A264" s="8">
        <v>1</v>
      </c>
      <c r="B264" s="8">
        <v>58</v>
      </c>
      <c r="C264" s="8">
        <v>0</v>
      </c>
      <c r="D264" s="8">
        <v>2</v>
      </c>
      <c r="E264" s="8">
        <v>136</v>
      </c>
      <c r="F264" s="8">
        <v>319</v>
      </c>
      <c r="G264" s="8">
        <v>1</v>
      </c>
      <c r="H264" s="8">
        <v>2</v>
      </c>
      <c r="I264" s="8">
        <v>152</v>
      </c>
      <c r="J264" s="8">
        <v>0</v>
      </c>
      <c r="K264" s="8">
        <v>0</v>
      </c>
      <c r="L264" s="8">
        <v>1</v>
      </c>
      <c r="M264" s="8">
        <v>2</v>
      </c>
      <c r="N264" s="8">
        <v>3</v>
      </c>
      <c r="O264" s="28">
        <f t="shared" si="24"/>
        <v>-1.7138795217149783</v>
      </c>
      <c r="P264" s="28">
        <f t="shared" si="25"/>
        <v>0.18016547916613715</v>
      </c>
      <c r="Q264" s="28">
        <f t="shared" si="26"/>
        <v>0.15266120077790757</v>
      </c>
      <c r="R264" s="5">
        <f t="shared" si="27"/>
        <v>0.15266120077790757</v>
      </c>
      <c r="S264" s="5">
        <f t="shared" si="28"/>
        <v>-0.81627132593733598</v>
      </c>
      <c r="T264" s="5">
        <f t="shared" si="29"/>
        <v>1</v>
      </c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</row>
    <row r="265" spans="1:37" ht="15" x14ac:dyDescent="0.25">
      <c r="A265" s="8">
        <v>0</v>
      </c>
      <c r="B265" s="8">
        <v>60</v>
      </c>
      <c r="C265" s="8">
        <v>0</v>
      </c>
      <c r="D265" s="8">
        <v>1</v>
      </c>
      <c r="E265" s="8">
        <v>150</v>
      </c>
      <c r="F265" s="8">
        <v>240</v>
      </c>
      <c r="G265" s="8">
        <v>0</v>
      </c>
      <c r="H265" s="8">
        <v>0</v>
      </c>
      <c r="I265" s="8">
        <v>171</v>
      </c>
      <c r="J265" s="8">
        <v>0</v>
      </c>
      <c r="K265" s="8">
        <v>0.9</v>
      </c>
      <c r="L265" s="8">
        <v>1</v>
      </c>
      <c r="M265" s="8">
        <v>0</v>
      </c>
      <c r="N265" s="8">
        <v>3</v>
      </c>
      <c r="O265" s="28">
        <f t="shared" si="24"/>
        <v>-4.5498436522697574</v>
      </c>
      <c r="P265" s="28">
        <f t="shared" si="25"/>
        <v>1.0568856671435419E-2</v>
      </c>
      <c r="Q265" s="28">
        <f t="shared" si="26"/>
        <v>1.0458324142549401E-2</v>
      </c>
      <c r="R265" s="5">
        <f t="shared" si="27"/>
        <v>0.98954167585745056</v>
      </c>
      <c r="S265" s="5">
        <f t="shared" si="28"/>
        <v>-4.565910185457777E-3</v>
      </c>
      <c r="T265" s="5">
        <f t="shared" si="29"/>
        <v>1</v>
      </c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</row>
    <row r="266" spans="1:37" ht="15" x14ac:dyDescent="0.25">
      <c r="A266" s="8">
        <v>0</v>
      </c>
      <c r="B266" s="8">
        <v>44</v>
      </c>
      <c r="C266" s="8">
        <v>1</v>
      </c>
      <c r="D266" s="8">
        <v>3</v>
      </c>
      <c r="E266" s="8">
        <v>120</v>
      </c>
      <c r="F266" s="8">
        <v>226</v>
      </c>
      <c r="G266" s="8">
        <v>0</v>
      </c>
      <c r="H266" s="8">
        <v>0</v>
      </c>
      <c r="I266" s="8">
        <v>169</v>
      </c>
      <c r="J266" s="8">
        <v>0</v>
      </c>
      <c r="K266" s="8">
        <v>0</v>
      </c>
      <c r="L266" s="8">
        <v>1</v>
      </c>
      <c r="M266" s="8">
        <v>0</v>
      </c>
      <c r="N266" s="8">
        <v>3</v>
      </c>
      <c r="O266" s="28">
        <f t="shared" si="24"/>
        <v>-2.8319707666114695</v>
      </c>
      <c r="P266" s="28">
        <f t="shared" si="25"/>
        <v>5.8896667633173846E-2</v>
      </c>
      <c r="Q266" s="28">
        <f t="shared" si="26"/>
        <v>5.562078853720314E-2</v>
      </c>
      <c r="R266" s="5">
        <f t="shared" si="27"/>
        <v>0.94437921146279691</v>
      </c>
      <c r="S266" s="5">
        <f t="shared" si="28"/>
        <v>-2.4853581574635818E-2</v>
      </c>
      <c r="T266" s="5">
        <f t="shared" si="29"/>
        <v>1</v>
      </c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</row>
    <row r="267" spans="1:37" ht="15" x14ac:dyDescent="0.25">
      <c r="A267" s="8">
        <v>1</v>
      </c>
      <c r="B267" s="8">
        <v>61</v>
      </c>
      <c r="C267" s="8">
        <v>1</v>
      </c>
      <c r="D267" s="8">
        <v>4</v>
      </c>
      <c r="E267" s="8">
        <v>138</v>
      </c>
      <c r="F267" s="8">
        <v>166</v>
      </c>
      <c r="G267" s="8">
        <v>0</v>
      </c>
      <c r="H267" s="8">
        <v>2</v>
      </c>
      <c r="I267" s="8">
        <v>125</v>
      </c>
      <c r="J267" s="8">
        <v>1</v>
      </c>
      <c r="K267" s="8">
        <v>3.6</v>
      </c>
      <c r="L267" s="8">
        <v>2</v>
      </c>
      <c r="M267" s="8">
        <v>1</v>
      </c>
      <c r="N267" s="8">
        <v>3</v>
      </c>
      <c r="O267" s="28">
        <f t="shared" si="24"/>
        <v>2.6903285818025688</v>
      </c>
      <c r="P267" s="28">
        <f t="shared" si="25"/>
        <v>14.736517276418548</v>
      </c>
      <c r="Q267" s="28">
        <f t="shared" si="26"/>
        <v>0.93645353781687657</v>
      </c>
      <c r="R267" s="5">
        <f t="shared" si="27"/>
        <v>0.93645353781687657</v>
      </c>
      <c r="S267" s="5">
        <f t="shared" si="28"/>
        <v>-2.8513765293882398E-2</v>
      </c>
      <c r="T267" s="5">
        <f t="shared" si="29"/>
        <v>1</v>
      </c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</row>
    <row r="268" spans="1:37" ht="15" x14ac:dyDescent="0.25">
      <c r="A268" s="8">
        <v>1</v>
      </c>
      <c r="B268" s="8">
        <v>42</v>
      </c>
      <c r="C268" s="8">
        <v>1</v>
      </c>
      <c r="D268" s="8">
        <v>4</v>
      </c>
      <c r="E268" s="8">
        <v>136</v>
      </c>
      <c r="F268" s="8">
        <v>315</v>
      </c>
      <c r="G268" s="8">
        <v>0</v>
      </c>
      <c r="H268" s="8">
        <v>0</v>
      </c>
      <c r="I268" s="8">
        <v>125</v>
      </c>
      <c r="J268" s="8">
        <v>1</v>
      </c>
      <c r="K268" s="8">
        <v>1.8</v>
      </c>
      <c r="L268" s="8">
        <v>2</v>
      </c>
      <c r="M268" s="8">
        <v>0</v>
      </c>
      <c r="N268" s="8">
        <v>6</v>
      </c>
      <c r="O268" s="28">
        <f t="shared" si="24"/>
        <v>2.4839827284562483</v>
      </c>
      <c r="P268" s="28">
        <f t="shared" si="25"/>
        <v>11.988918064225729</v>
      </c>
      <c r="Q268" s="28">
        <f t="shared" si="26"/>
        <v>0.92301129354613343</v>
      </c>
      <c r="R268" s="5">
        <f t="shared" si="27"/>
        <v>0.92301129354613343</v>
      </c>
      <c r="S268" s="5">
        <f t="shared" si="28"/>
        <v>-3.4792985111941947E-2</v>
      </c>
      <c r="T268" s="5">
        <f t="shared" si="29"/>
        <v>1</v>
      </c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</row>
    <row r="269" spans="1:37" ht="15" x14ac:dyDescent="0.25">
      <c r="A269" s="8">
        <v>1</v>
      </c>
      <c r="B269" s="8">
        <v>59</v>
      </c>
      <c r="C269" s="8">
        <v>1</v>
      </c>
      <c r="D269" s="8">
        <v>3</v>
      </c>
      <c r="E269" s="8">
        <v>126</v>
      </c>
      <c r="F269" s="8">
        <v>218</v>
      </c>
      <c r="G269" s="8">
        <v>1</v>
      </c>
      <c r="H269" s="8">
        <v>0</v>
      </c>
      <c r="I269" s="8">
        <v>134</v>
      </c>
      <c r="J269" s="8">
        <v>0</v>
      </c>
      <c r="K269" s="8">
        <v>2.2000000000000002</v>
      </c>
      <c r="L269" s="8">
        <v>2</v>
      </c>
      <c r="M269" s="8">
        <v>1</v>
      </c>
      <c r="N269" s="8">
        <v>6</v>
      </c>
      <c r="O269" s="28">
        <f t="shared" si="24"/>
        <v>0.17497765924434194</v>
      </c>
      <c r="P269" s="28">
        <f t="shared" si="25"/>
        <v>1.191219603568983</v>
      </c>
      <c r="Q269" s="28">
        <f t="shared" si="26"/>
        <v>0.54363314458704437</v>
      </c>
      <c r="R269" s="5">
        <f t="shared" si="27"/>
        <v>0.54363314458704437</v>
      </c>
      <c r="S269" s="5">
        <f t="shared" si="28"/>
        <v>-0.26469407277758167</v>
      </c>
      <c r="T269" s="5">
        <f t="shared" si="29"/>
        <v>0</v>
      </c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</row>
    <row r="270" spans="1:37" ht="15" x14ac:dyDescent="0.25">
      <c r="A270" s="8">
        <v>1</v>
      </c>
      <c r="B270" s="8">
        <v>40</v>
      </c>
      <c r="C270" s="8">
        <v>1</v>
      </c>
      <c r="D270" s="8">
        <v>4</v>
      </c>
      <c r="E270" s="8">
        <v>152</v>
      </c>
      <c r="F270" s="8">
        <v>223</v>
      </c>
      <c r="G270" s="8">
        <v>0</v>
      </c>
      <c r="H270" s="8">
        <v>0</v>
      </c>
      <c r="I270" s="8">
        <v>181</v>
      </c>
      <c r="J270" s="8">
        <v>0</v>
      </c>
      <c r="K270" s="8">
        <v>0</v>
      </c>
      <c r="L270" s="8">
        <v>1</v>
      </c>
      <c r="M270" s="8">
        <v>0</v>
      </c>
      <c r="N270" s="8">
        <v>7</v>
      </c>
      <c r="O270" s="28">
        <f t="shared" si="24"/>
        <v>-0.31716429004316726</v>
      </c>
      <c r="P270" s="28">
        <f t="shared" si="25"/>
        <v>0.72821110746323103</v>
      </c>
      <c r="Q270" s="28">
        <f t="shared" si="26"/>
        <v>0.42136698712239018</v>
      </c>
      <c r="R270" s="5">
        <f t="shared" si="27"/>
        <v>0.42136698712239018</v>
      </c>
      <c r="S270" s="5">
        <f t="shared" si="28"/>
        <v>-0.37533949310429809</v>
      </c>
      <c r="T270" s="5">
        <f t="shared" si="29"/>
        <v>0</v>
      </c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</row>
    <row r="271" spans="1:37" ht="15" x14ac:dyDescent="0.25">
      <c r="A271" s="8">
        <v>0</v>
      </c>
      <c r="B271" s="8">
        <v>42</v>
      </c>
      <c r="C271" s="8">
        <v>1</v>
      </c>
      <c r="D271" s="8">
        <v>3</v>
      </c>
      <c r="E271" s="8">
        <v>130</v>
      </c>
      <c r="F271" s="8">
        <v>180</v>
      </c>
      <c r="G271" s="8">
        <v>0</v>
      </c>
      <c r="H271" s="8">
        <v>0</v>
      </c>
      <c r="I271" s="8">
        <v>150</v>
      </c>
      <c r="J271" s="8">
        <v>0</v>
      </c>
      <c r="K271" s="8">
        <v>0</v>
      </c>
      <c r="L271" s="8">
        <v>1</v>
      </c>
      <c r="M271" s="8">
        <v>0</v>
      </c>
      <c r="N271" s="8">
        <v>3</v>
      </c>
      <c r="O271" s="28">
        <f t="shared" si="24"/>
        <v>-2.400397455330709</v>
      </c>
      <c r="P271" s="28">
        <f t="shared" si="25"/>
        <v>9.0681904119728499E-2</v>
      </c>
      <c r="Q271" s="28">
        <f t="shared" si="26"/>
        <v>8.3142393558749264E-2</v>
      </c>
      <c r="R271" s="5">
        <f t="shared" si="27"/>
        <v>0.91685760644125069</v>
      </c>
      <c r="S271" s="5">
        <f t="shared" si="28"/>
        <v>-3.7698107665525206E-2</v>
      </c>
      <c r="T271" s="5">
        <f t="shared" si="29"/>
        <v>1</v>
      </c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</row>
    <row r="272" spans="1:37" ht="15" x14ac:dyDescent="0.25">
      <c r="A272" s="8">
        <v>1</v>
      </c>
      <c r="B272" s="8">
        <v>61</v>
      </c>
      <c r="C272" s="8">
        <v>1</v>
      </c>
      <c r="D272" s="8">
        <v>4</v>
      </c>
      <c r="E272" s="8">
        <v>140</v>
      </c>
      <c r="F272" s="8">
        <v>207</v>
      </c>
      <c r="G272" s="8">
        <v>0</v>
      </c>
      <c r="H272" s="8">
        <v>2</v>
      </c>
      <c r="I272" s="8">
        <v>138</v>
      </c>
      <c r="J272" s="8">
        <v>1</v>
      </c>
      <c r="K272" s="8">
        <v>1.9</v>
      </c>
      <c r="L272" s="8">
        <v>1</v>
      </c>
      <c r="M272" s="8">
        <v>1</v>
      </c>
      <c r="N272" s="8">
        <v>7</v>
      </c>
      <c r="O272" s="28">
        <f t="shared" si="24"/>
        <v>3.0597872316714225</v>
      </c>
      <c r="P272" s="28">
        <f t="shared" si="25"/>
        <v>21.323019816055773</v>
      </c>
      <c r="Q272" s="28">
        <f t="shared" si="26"/>
        <v>0.95520319346396165</v>
      </c>
      <c r="R272" s="5">
        <f t="shared" si="27"/>
        <v>0.95520319346396165</v>
      </c>
      <c r="S272" s="5">
        <f t="shared" si="28"/>
        <v>-1.9904234265943222E-2</v>
      </c>
      <c r="T272" s="5">
        <f t="shared" si="29"/>
        <v>1</v>
      </c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</row>
    <row r="273" spans="1:37" ht="15" x14ac:dyDescent="0.25">
      <c r="A273" s="8">
        <v>0</v>
      </c>
      <c r="B273" s="8">
        <v>66</v>
      </c>
      <c r="C273" s="8">
        <v>1</v>
      </c>
      <c r="D273" s="8">
        <v>4</v>
      </c>
      <c r="E273" s="8">
        <v>160</v>
      </c>
      <c r="F273" s="8">
        <v>228</v>
      </c>
      <c r="G273" s="8">
        <v>0</v>
      </c>
      <c r="H273" s="8">
        <v>2</v>
      </c>
      <c r="I273" s="8">
        <v>138</v>
      </c>
      <c r="J273" s="8">
        <v>0</v>
      </c>
      <c r="K273" s="8">
        <v>2.2999999999999998</v>
      </c>
      <c r="L273" s="8">
        <v>1</v>
      </c>
      <c r="M273" s="8">
        <v>0</v>
      </c>
      <c r="N273" s="8">
        <v>6</v>
      </c>
      <c r="O273" s="28">
        <f t="shared" si="24"/>
        <v>1.1358826763264025</v>
      </c>
      <c r="P273" s="28">
        <f t="shared" si="25"/>
        <v>3.1139209144803268</v>
      </c>
      <c r="Q273" s="28">
        <f t="shared" si="26"/>
        <v>0.75692289161899939</v>
      </c>
      <c r="R273" s="5">
        <f t="shared" si="27"/>
        <v>0.24307710838100061</v>
      </c>
      <c r="S273" s="5">
        <f t="shared" si="28"/>
        <v>-0.61425593861419259</v>
      </c>
      <c r="T273" s="5">
        <f t="shared" si="29"/>
        <v>1</v>
      </c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</row>
    <row r="274" spans="1:37" ht="15" x14ac:dyDescent="0.25">
      <c r="A274" s="8">
        <v>1</v>
      </c>
      <c r="B274" s="8">
        <v>46</v>
      </c>
      <c r="C274" s="8">
        <v>1</v>
      </c>
      <c r="D274" s="8">
        <v>4</v>
      </c>
      <c r="E274" s="8">
        <v>140</v>
      </c>
      <c r="F274" s="8">
        <v>311</v>
      </c>
      <c r="G274" s="8">
        <v>0</v>
      </c>
      <c r="H274" s="8">
        <v>0</v>
      </c>
      <c r="I274" s="8">
        <v>120</v>
      </c>
      <c r="J274" s="8">
        <v>1</v>
      </c>
      <c r="K274" s="8">
        <v>1.8</v>
      </c>
      <c r="L274" s="8">
        <v>2</v>
      </c>
      <c r="M274" s="8">
        <v>2</v>
      </c>
      <c r="N274" s="8">
        <v>7</v>
      </c>
      <c r="O274" s="28">
        <f t="shared" si="24"/>
        <v>5.4862577926995071</v>
      </c>
      <c r="P274" s="28">
        <f t="shared" si="25"/>
        <v>241.35232435481424</v>
      </c>
      <c r="Q274" s="28">
        <f t="shared" si="26"/>
        <v>0.9958737759059576</v>
      </c>
      <c r="R274" s="5">
        <f t="shared" si="27"/>
        <v>0.9958737759059576</v>
      </c>
      <c r="S274" s="5">
        <f t="shared" si="28"/>
        <v>-1.7957036459969702E-3</v>
      </c>
      <c r="T274" s="5">
        <f t="shared" si="29"/>
        <v>1</v>
      </c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</row>
    <row r="275" spans="1:37" ht="15" x14ac:dyDescent="0.25">
      <c r="A275" s="8">
        <v>0</v>
      </c>
      <c r="B275" s="8">
        <v>71</v>
      </c>
      <c r="C275" s="8">
        <v>0</v>
      </c>
      <c r="D275" s="8">
        <v>4</v>
      </c>
      <c r="E275" s="8">
        <v>112</v>
      </c>
      <c r="F275" s="8">
        <v>149</v>
      </c>
      <c r="G275" s="8">
        <v>0</v>
      </c>
      <c r="H275" s="8">
        <v>0</v>
      </c>
      <c r="I275" s="8">
        <v>125</v>
      </c>
      <c r="J275" s="8">
        <v>0</v>
      </c>
      <c r="K275" s="8">
        <v>1.6</v>
      </c>
      <c r="L275" s="8">
        <v>2</v>
      </c>
      <c r="M275" s="8">
        <v>0</v>
      </c>
      <c r="N275" s="8">
        <v>3</v>
      </c>
      <c r="O275" s="28">
        <f t="shared" si="24"/>
        <v>-2.6523991652855079</v>
      </c>
      <c r="P275" s="28">
        <f t="shared" si="25"/>
        <v>7.0481912294144466E-2</v>
      </c>
      <c r="Q275" s="28">
        <f t="shared" si="26"/>
        <v>6.5841292117766875E-2</v>
      </c>
      <c r="R275" s="5">
        <f t="shared" si="27"/>
        <v>0.9341587078822331</v>
      </c>
      <c r="S275" s="5">
        <f t="shared" si="28"/>
        <v>-2.9579333510692168E-2</v>
      </c>
      <c r="T275" s="5">
        <f t="shared" si="29"/>
        <v>0</v>
      </c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</row>
    <row r="276" spans="1:37" ht="15" x14ac:dyDescent="0.25">
      <c r="A276" s="8">
        <v>1</v>
      </c>
      <c r="B276" s="8">
        <v>59</v>
      </c>
      <c r="C276" s="8">
        <v>1</v>
      </c>
      <c r="D276" s="8">
        <v>1</v>
      </c>
      <c r="E276" s="8">
        <v>134</v>
      </c>
      <c r="F276" s="8">
        <v>204</v>
      </c>
      <c r="G276" s="8">
        <v>0</v>
      </c>
      <c r="H276" s="8">
        <v>0</v>
      </c>
      <c r="I276" s="8">
        <v>162</v>
      </c>
      <c r="J276" s="8">
        <v>0</v>
      </c>
      <c r="K276" s="8">
        <v>0.8</v>
      </c>
      <c r="L276" s="8">
        <v>1</v>
      </c>
      <c r="M276" s="8">
        <v>2</v>
      </c>
      <c r="N276" s="8">
        <v>3</v>
      </c>
      <c r="O276" s="28">
        <f t="shared" si="24"/>
        <v>-1.0914373075620203</v>
      </c>
      <c r="P276" s="28">
        <f t="shared" si="25"/>
        <v>0.33573359431845723</v>
      </c>
      <c r="Q276" s="28">
        <f t="shared" si="26"/>
        <v>0.25134772064317323</v>
      </c>
      <c r="R276" s="5">
        <f t="shared" si="27"/>
        <v>0.25134772064317323</v>
      </c>
      <c r="S276" s="5">
        <f t="shared" si="28"/>
        <v>-0.59972504883487421</v>
      </c>
      <c r="T276" s="5">
        <f t="shared" si="29"/>
        <v>1</v>
      </c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</row>
    <row r="277" spans="1:37" ht="15" x14ac:dyDescent="0.25">
      <c r="A277" s="8">
        <v>0</v>
      </c>
      <c r="B277" s="8">
        <v>64</v>
      </c>
      <c r="C277" s="8">
        <v>1</v>
      </c>
      <c r="D277" s="8">
        <v>1</v>
      </c>
      <c r="E277" s="8">
        <v>170</v>
      </c>
      <c r="F277" s="8">
        <v>227</v>
      </c>
      <c r="G277" s="8">
        <v>0</v>
      </c>
      <c r="H277" s="8">
        <v>2</v>
      </c>
      <c r="I277" s="8">
        <v>155</v>
      </c>
      <c r="J277" s="8">
        <v>0</v>
      </c>
      <c r="K277" s="8">
        <v>0.6</v>
      </c>
      <c r="L277" s="8">
        <v>2</v>
      </c>
      <c r="M277" s="8">
        <v>0</v>
      </c>
      <c r="N277" s="8">
        <v>7</v>
      </c>
      <c r="O277" s="28">
        <f t="shared" si="24"/>
        <v>-0.18582861460979405</v>
      </c>
      <c r="P277" s="28">
        <f t="shared" si="25"/>
        <v>0.83041590394047626</v>
      </c>
      <c r="Q277" s="28">
        <f t="shared" si="26"/>
        <v>0.45367607555898992</v>
      </c>
      <c r="R277" s="5">
        <f t="shared" si="27"/>
        <v>0.54632392444101008</v>
      </c>
      <c r="S277" s="5">
        <f t="shared" si="28"/>
        <v>-0.26254978058516737</v>
      </c>
      <c r="T277" s="5">
        <f t="shared" si="29"/>
        <v>1</v>
      </c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</row>
    <row r="278" spans="1:37" ht="15" x14ac:dyDescent="0.25">
      <c r="A278" s="8">
        <v>0</v>
      </c>
      <c r="B278" s="8">
        <v>66</v>
      </c>
      <c r="C278" s="8">
        <v>0</v>
      </c>
      <c r="D278" s="8">
        <v>3</v>
      </c>
      <c r="E278" s="8">
        <v>146</v>
      </c>
      <c r="F278" s="8">
        <v>278</v>
      </c>
      <c r="G278" s="8">
        <v>0</v>
      </c>
      <c r="H278" s="8">
        <v>2</v>
      </c>
      <c r="I278" s="8">
        <v>152</v>
      </c>
      <c r="J278" s="8">
        <v>0</v>
      </c>
      <c r="K278" s="8">
        <v>0</v>
      </c>
      <c r="L278" s="8">
        <v>2</v>
      </c>
      <c r="M278" s="8">
        <v>1</v>
      </c>
      <c r="N278" s="8">
        <v>3</v>
      </c>
      <c r="O278" s="28">
        <f t="shared" si="24"/>
        <v>-0.89123083862635433</v>
      </c>
      <c r="P278" s="28">
        <f t="shared" si="25"/>
        <v>0.4101506127264235</v>
      </c>
      <c r="Q278" s="28">
        <f t="shared" si="26"/>
        <v>0.2908558908707114</v>
      </c>
      <c r="R278" s="5">
        <f t="shared" si="27"/>
        <v>0.7091441091292886</v>
      </c>
      <c r="S278" s="5">
        <f t="shared" si="28"/>
        <v>-0.14926550044456896</v>
      </c>
      <c r="T278" s="5">
        <f t="shared" si="29"/>
        <v>1</v>
      </c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</row>
    <row r="279" spans="1:37" ht="15" x14ac:dyDescent="0.25">
      <c r="A279" s="8">
        <v>0</v>
      </c>
      <c r="B279" s="8">
        <v>39</v>
      </c>
      <c r="C279" s="8">
        <v>0</v>
      </c>
      <c r="D279" s="8">
        <v>3</v>
      </c>
      <c r="E279" s="8">
        <v>138</v>
      </c>
      <c r="F279" s="8">
        <v>220</v>
      </c>
      <c r="G279" s="8">
        <v>0</v>
      </c>
      <c r="H279" s="8">
        <v>0</v>
      </c>
      <c r="I279" s="8">
        <v>152</v>
      </c>
      <c r="J279" s="8">
        <v>0</v>
      </c>
      <c r="K279" s="8">
        <v>0</v>
      </c>
      <c r="L279" s="8">
        <v>2</v>
      </c>
      <c r="M279" s="8">
        <v>0</v>
      </c>
      <c r="N279" s="8">
        <v>3</v>
      </c>
      <c r="O279" s="28">
        <f t="shared" si="24"/>
        <v>-2.7491267428397652</v>
      </c>
      <c r="P279" s="28">
        <f t="shared" si="25"/>
        <v>6.3983711051334033E-2</v>
      </c>
      <c r="Q279" s="28">
        <f t="shared" si="26"/>
        <v>6.0135987409159701E-2</v>
      </c>
      <c r="R279" s="5">
        <f t="shared" si="27"/>
        <v>0.93986401259084029</v>
      </c>
      <c r="S279" s="5">
        <f t="shared" si="28"/>
        <v>-2.6934979223435181E-2</v>
      </c>
      <c r="T279" s="5">
        <f t="shared" si="29"/>
        <v>0</v>
      </c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</row>
    <row r="280" spans="1:37" ht="15" x14ac:dyDescent="0.25">
      <c r="A280" s="8">
        <v>1</v>
      </c>
      <c r="B280" s="8">
        <v>57</v>
      </c>
      <c r="C280" s="8">
        <v>1</v>
      </c>
      <c r="D280" s="8">
        <v>2</v>
      </c>
      <c r="E280" s="8">
        <v>154</v>
      </c>
      <c r="F280" s="8">
        <v>232</v>
      </c>
      <c r="G280" s="8">
        <v>0</v>
      </c>
      <c r="H280" s="8">
        <v>2</v>
      </c>
      <c r="I280" s="8">
        <v>164</v>
      </c>
      <c r="J280" s="8">
        <v>0</v>
      </c>
      <c r="K280" s="8">
        <v>0</v>
      </c>
      <c r="L280" s="8">
        <v>1</v>
      </c>
      <c r="M280" s="8">
        <v>1</v>
      </c>
      <c r="N280" s="8">
        <v>3</v>
      </c>
      <c r="O280" s="28">
        <f t="shared" si="24"/>
        <v>-0.88305024366567419</v>
      </c>
      <c r="P280" s="28">
        <f t="shared" si="25"/>
        <v>0.41351965033949517</v>
      </c>
      <c r="Q280" s="28">
        <f t="shared" si="26"/>
        <v>0.29254609247220381</v>
      </c>
      <c r="R280" s="5">
        <f t="shared" si="27"/>
        <v>0.29254609247220381</v>
      </c>
      <c r="S280" s="5">
        <f t="shared" si="28"/>
        <v>-0.53380569837053593</v>
      </c>
      <c r="T280" s="5">
        <f t="shared" si="29"/>
        <v>1</v>
      </c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</row>
    <row r="281" spans="1:37" ht="15" x14ac:dyDescent="0.25">
      <c r="A281" s="8">
        <v>0</v>
      </c>
      <c r="B281" s="8">
        <v>58</v>
      </c>
      <c r="C281" s="8">
        <v>0</v>
      </c>
      <c r="D281" s="8">
        <v>4</v>
      </c>
      <c r="E281" s="8">
        <v>130</v>
      </c>
      <c r="F281" s="8">
        <v>197</v>
      </c>
      <c r="G281" s="8">
        <v>0</v>
      </c>
      <c r="H281" s="8">
        <v>0</v>
      </c>
      <c r="I281" s="8">
        <v>131</v>
      </c>
      <c r="J281" s="8">
        <v>0</v>
      </c>
      <c r="K281" s="8">
        <v>0.6</v>
      </c>
      <c r="L281" s="8">
        <v>2</v>
      </c>
      <c r="M281" s="8">
        <v>0</v>
      </c>
      <c r="N281" s="8">
        <v>3</v>
      </c>
      <c r="O281" s="28">
        <f t="shared" si="24"/>
        <v>-2.1671243687073725</v>
      </c>
      <c r="P281" s="28">
        <f t="shared" si="25"/>
        <v>0.11450642217371329</v>
      </c>
      <c r="Q281" s="28">
        <f t="shared" si="26"/>
        <v>0.10274182355125601</v>
      </c>
      <c r="R281" s="5">
        <f t="shared" si="27"/>
        <v>0.89725817644874395</v>
      </c>
      <c r="S281" s="5">
        <f t="shared" si="28"/>
        <v>-4.7082575379351725E-2</v>
      </c>
      <c r="T281" s="5">
        <f t="shared" si="29"/>
        <v>1</v>
      </c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</row>
    <row r="282" spans="1:37" ht="15" x14ac:dyDescent="0.25">
      <c r="A282" s="8">
        <v>1</v>
      </c>
      <c r="B282" s="8">
        <v>57</v>
      </c>
      <c r="C282" s="8">
        <v>1</v>
      </c>
      <c r="D282" s="8">
        <v>4</v>
      </c>
      <c r="E282" s="8">
        <v>110</v>
      </c>
      <c r="F282" s="8">
        <v>335</v>
      </c>
      <c r="G282" s="8">
        <v>0</v>
      </c>
      <c r="H282" s="8">
        <v>0</v>
      </c>
      <c r="I282" s="8">
        <v>143</v>
      </c>
      <c r="J282" s="8">
        <v>1</v>
      </c>
      <c r="K282" s="8">
        <v>3</v>
      </c>
      <c r="L282" s="8">
        <v>2</v>
      </c>
      <c r="M282" s="8">
        <v>1</v>
      </c>
      <c r="N282" s="8">
        <v>7</v>
      </c>
      <c r="O282" s="28">
        <f t="shared" si="24"/>
        <v>3.2829421884375742</v>
      </c>
      <c r="P282" s="28">
        <f t="shared" si="25"/>
        <v>26.654078770150555</v>
      </c>
      <c r="Q282" s="28">
        <f t="shared" si="26"/>
        <v>0.96383896898856791</v>
      </c>
      <c r="R282" s="5">
        <f t="shared" si="27"/>
        <v>0.96383896898856791</v>
      </c>
      <c r="S282" s="5">
        <f t="shared" si="28"/>
        <v>-1.5995518712784828E-2</v>
      </c>
      <c r="T282" s="5">
        <f t="shared" si="29"/>
        <v>1</v>
      </c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</row>
    <row r="283" spans="1:37" ht="15" x14ac:dyDescent="0.25">
      <c r="A283" s="8">
        <v>0</v>
      </c>
      <c r="B283" s="8">
        <v>47</v>
      </c>
      <c r="C283" s="8">
        <v>1</v>
      </c>
      <c r="D283" s="8">
        <v>3</v>
      </c>
      <c r="E283" s="8">
        <v>130</v>
      </c>
      <c r="F283" s="8">
        <v>253</v>
      </c>
      <c r="G283" s="8">
        <v>0</v>
      </c>
      <c r="H283" s="8">
        <v>0</v>
      </c>
      <c r="I283" s="8">
        <v>179</v>
      </c>
      <c r="J283" s="8">
        <v>0</v>
      </c>
      <c r="K283" s="8">
        <v>0</v>
      </c>
      <c r="L283" s="8">
        <v>1</v>
      </c>
      <c r="M283" s="8">
        <v>0</v>
      </c>
      <c r="N283" s="8">
        <v>3</v>
      </c>
      <c r="O283" s="28">
        <f t="shared" si="24"/>
        <v>-2.7057521232473185</v>
      </c>
      <c r="P283" s="28">
        <f t="shared" si="25"/>
        <v>6.6820048030648088E-2</v>
      </c>
      <c r="Q283" s="28">
        <f t="shared" si="26"/>
        <v>6.263478845752668E-2</v>
      </c>
      <c r="R283" s="5">
        <f t="shared" si="27"/>
        <v>0.93736521154247332</v>
      </c>
      <c r="S283" s="5">
        <f t="shared" si="28"/>
        <v>-2.8091168498221863E-2</v>
      </c>
      <c r="T283" s="5">
        <f t="shared" si="29"/>
        <v>0</v>
      </c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</row>
    <row r="284" spans="1:37" ht="15" x14ac:dyDescent="0.25">
      <c r="A284" s="8">
        <v>1</v>
      </c>
      <c r="B284" s="8">
        <v>55</v>
      </c>
      <c r="C284" s="8">
        <v>0</v>
      </c>
      <c r="D284" s="8">
        <v>4</v>
      </c>
      <c r="E284" s="8">
        <v>128</v>
      </c>
      <c r="F284" s="8">
        <v>205</v>
      </c>
      <c r="G284" s="8">
        <v>0</v>
      </c>
      <c r="H284" s="8">
        <v>1</v>
      </c>
      <c r="I284" s="8">
        <v>130</v>
      </c>
      <c r="J284" s="8">
        <v>1</v>
      </c>
      <c r="K284" s="8">
        <v>2</v>
      </c>
      <c r="L284" s="8">
        <v>2</v>
      </c>
      <c r="M284" s="8">
        <v>1</v>
      </c>
      <c r="N284" s="8">
        <v>7</v>
      </c>
      <c r="O284" s="28">
        <f t="shared" si="24"/>
        <v>2.0490303482597882</v>
      </c>
      <c r="P284" s="28">
        <f t="shared" si="25"/>
        <v>7.7603725980866711</v>
      </c>
      <c r="Q284" s="28">
        <f t="shared" si="26"/>
        <v>0.88584960413459946</v>
      </c>
      <c r="R284" s="5">
        <f t="shared" si="27"/>
        <v>0.88584960413459946</v>
      </c>
      <c r="S284" s="5">
        <f t="shared" si="28"/>
        <v>-5.2640004567439475E-2</v>
      </c>
      <c r="T284" s="5">
        <f t="shared" si="29"/>
        <v>1</v>
      </c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</row>
    <row r="285" spans="1:37" ht="15" x14ac:dyDescent="0.25">
      <c r="A285" s="8">
        <v>0</v>
      </c>
      <c r="B285" s="8">
        <v>35</v>
      </c>
      <c r="C285" s="8">
        <v>1</v>
      </c>
      <c r="D285" s="8">
        <v>2</v>
      </c>
      <c r="E285" s="8">
        <v>122</v>
      </c>
      <c r="F285" s="8">
        <v>192</v>
      </c>
      <c r="G285" s="8">
        <v>0</v>
      </c>
      <c r="H285" s="8">
        <v>0</v>
      </c>
      <c r="I285" s="8">
        <v>174</v>
      </c>
      <c r="J285" s="8">
        <v>0</v>
      </c>
      <c r="K285" s="8">
        <v>0</v>
      </c>
      <c r="L285" s="8">
        <v>1</v>
      </c>
      <c r="M285" s="8">
        <v>0</v>
      </c>
      <c r="N285" s="8">
        <v>3</v>
      </c>
      <c r="O285" s="28">
        <f t="shared" si="24"/>
        <v>-3.505516735777638</v>
      </c>
      <c r="P285" s="28">
        <f t="shared" si="25"/>
        <v>3.0031251112175323E-2</v>
      </c>
      <c r="Q285" s="28">
        <f t="shared" si="26"/>
        <v>2.9155669868995822E-2</v>
      </c>
      <c r="R285" s="5">
        <f t="shared" si="27"/>
        <v>0.97084433013100413</v>
      </c>
      <c r="S285" s="5">
        <f t="shared" si="28"/>
        <v>-1.2850401384472403E-2</v>
      </c>
      <c r="T285" s="5">
        <f t="shared" si="29"/>
        <v>1</v>
      </c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</row>
    <row r="286" spans="1:37" ht="15" x14ac:dyDescent="0.25">
      <c r="A286" s="8">
        <v>1</v>
      </c>
      <c r="B286" s="8">
        <v>61</v>
      </c>
      <c r="C286" s="8">
        <v>1</v>
      </c>
      <c r="D286" s="8">
        <v>4</v>
      </c>
      <c r="E286" s="8">
        <v>148</v>
      </c>
      <c r="F286" s="8">
        <v>203</v>
      </c>
      <c r="G286" s="8">
        <v>0</v>
      </c>
      <c r="H286" s="8">
        <v>0</v>
      </c>
      <c r="I286" s="8">
        <v>161</v>
      </c>
      <c r="J286" s="8">
        <v>0</v>
      </c>
      <c r="K286" s="8">
        <v>0</v>
      </c>
      <c r="L286" s="8">
        <v>1</v>
      </c>
      <c r="M286" s="8">
        <v>1</v>
      </c>
      <c r="N286" s="8">
        <v>7</v>
      </c>
      <c r="O286" s="28">
        <f t="shared" si="24"/>
        <v>0.87042660956918194</v>
      </c>
      <c r="P286" s="28">
        <f t="shared" si="25"/>
        <v>2.3879293497698497</v>
      </c>
      <c r="Q286" s="28">
        <f t="shared" si="26"/>
        <v>0.70483445882130558</v>
      </c>
      <c r="R286" s="5">
        <f t="shared" si="27"/>
        <v>0.70483445882130558</v>
      </c>
      <c r="S286" s="5">
        <f t="shared" si="28"/>
        <v>-0.15191287174964152</v>
      </c>
      <c r="T286" s="5">
        <f t="shared" si="29"/>
        <v>1</v>
      </c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</row>
    <row r="287" spans="1:37" ht="15" x14ac:dyDescent="0.25">
      <c r="A287" s="8">
        <v>1</v>
      </c>
      <c r="B287" s="8">
        <v>58</v>
      </c>
      <c r="C287" s="8">
        <v>1</v>
      </c>
      <c r="D287" s="8">
        <v>4</v>
      </c>
      <c r="E287" s="8">
        <v>114</v>
      </c>
      <c r="F287" s="8">
        <v>318</v>
      </c>
      <c r="G287" s="8">
        <v>0</v>
      </c>
      <c r="H287" s="8">
        <v>1</v>
      </c>
      <c r="I287" s="8">
        <v>140</v>
      </c>
      <c r="J287" s="8">
        <v>0</v>
      </c>
      <c r="K287" s="8">
        <v>4.4000000000000004</v>
      </c>
      <c r="L287" s="8">
        <v>3</v>
      </c>
      <c r="M287" s="8">
        <v>3</v>
      </c>
      <c r="N287" s="8">
        <v>6</v>
      </c>
      <c r="O287" s="28">
        <f t="shared" si="24"/>
        <v>5.7689130794178967</v>
      </c>
      <c r="P287" s="28">
        <f t="shared" si="25"/>
        <v>320.18952286087432</v>
      </c>
      <c r="Q287" s="28">
        <f t="shared" si="26"/>
        <v>0.99688657341281595</v>
      </c>
      <c r="R287" s="5">
        <f t="shared" si="27"/>
        <v>0.99688657341281595</v>
      </c>
      <c r="S287" s="5">
        <f t="shared" si="28"/>
        <v>-1.3542532663398876E-3</v>
      </c>
      <c r="T287" s="5">
        <f t="shared" si="29"/>
        <v>0</v>
      </c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</row>
    <row r="288" spans="1:37" ht="15" x14ac:dyDescent="0.25">
      <c r="A288" s="8">
        <v>1</v>
      </c>
      <c r="B288" s="8">
        <v>58</v>
      </c>
      <c r="C288" s="8">
        <v>0</v>
      </c>
      <c r="D288" s="8">
        <v>4</v>
      </c>
      <c r="E288" s="8">
        <v>170</v>
      </c>
      <c r="F288" s="8">
        <v>225</v>
      </c>
      <c r="G288" s="8">
        <v>1</v>
      </c>
      <c r="H288" s="8">
        <v>2</v>
      </c>
      <c r="I288" s="8">
        <v>146</v>
      </c>
      <c r="J288" s="8">
        <v>1</v>
      </c>
      <c r="K288" s="8">
        <v>2.8</v>
      </c>
      <c r="L288" s="8">
        <v>2</v>
      </c>
      <c r="M288" s="8">
        <v>2</v>
      </c>
      <c r="N288" s="8">
        <v>6</v>
      </c>
      <c r="O288" s="28">
        <f t="shared" si="24"/>
        <v>3.1305935754221119</v>
      </c>
      <c r="P288" s="28">
        <f t="shared" si="25"/>
        <v>22.88756100491549</v>
      </c>
      <c r="Q288" s="28">
        <f t="shared" si="26"/>
        <v>0.95813720790522627</v>
      </c>
      <c r="R288" s="5">
        <f t="shared" si="27"/>
        <v>0.95813720790522627</v>
      </c>
      <c r="S288" s="5">
        <f t="shared" si="28"/>
        <v>-1.8572294293814011E-2</v>
      </c>
      <c r="T288" s="5">
        <f t="shared" si="29"/>
        <v>1</v>
      </c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</row>
    <row r="289" spans="1:37" ht="15" x14ac:dyDescent="0.25">
      <c r="A289" s="8">
        <v>0</v>
      </c>
      <c r="B289" s="8">
        <v>56</v>
      </c>
      <c r="C289" s="8">
        <v>1</v>
      </c>
      <c r="D289" s="8">
        <v>2</v>
      </c>
      <c r="E289" s="8">
        <v>130</v>
      </c>
      <c r="F289" s="8">
        <v>221</v>
      </c>
      <c r="G289" s="8">
        <v>0</v>
      </c>
      <c r="H289" s="8">
        <v>2</v>
      </c>
      <c r="I289" s="8">
        <v>163</v>
      </c>
      <c r="J289" s="8">
        <v>0</v>
      </c>
      <c r="K289" s="8">
        <v>0</v>
      </c>
      <c r="L289" s="8">
        <v>1</v>
      </c>
      <c r="M289" s="8">
        <v>0</v>
      </c>
      <c r="N289" s="8">
        <v>7</v>
      </c>
      <c r="O289" s="28">
        <f t="shared" si="24"/>
        <v>-1.3722073331354601</v>
      </c>
      <c r="P289" s="28">
        <f t="shared" si="25"/>
        <v>0.25354667943095605</v>
      </c>
      <c r="Q289" s="28">
        <f t="shared" si="26"/>
        <v>0.20226345264306619</v>
      </c>
      <c r="R289" s="5">
        <f t="shared" si="27"/>
        <v>0.79773654735693378</v>
      </c>
      <c r="S289" s="5">
        <f t="shared" si="28"/>
        <v>-9.8140510804664655E-2</v>
      </c>
      <c r="T289" s="5">
        <f t="shared" si="29"/>
        <v>0</v>
      </c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</row>
    <row r="290" spans="1:37" ht="15" x14ac:dyDescent="0.25">
      <c r="A290" s="8">
        <v>0</v>
      </c>
      <c r="B290" s="8">
        <v>56</v>
      </c>
      <c r="C290" s="8">
        <v>1</v>
      </c>
      <c r="D290" s="8">
        <v>2</v>
      </c>
      <c r="E290" s="8">
        <v>120</v>
      </c>
      <c r="F290" s="8">
        <v>240</v>
      </c>
      <c r="G290" s="8">
        <v>0</v>
      </c>
      <c r="H290" s="8">
        <v>0</v>
      </c>
      <c r="I290" s="8">
        <v>169</v>
      </c>
      <c r="J290" s="8">
        <v>0</v>
      </c>
      <c r="K290" s="8">
        <v>0</v>
      </c>
      <c r="L290" s="8">
        <v>3</v>
      </c>
      <c r="M290" s="8">
        <v>0</v>
      </c>
      <c r="N290" s="8">
        <v>3</v>
      </c>
      <c r="O290" s="28">
        <f t="shared" si="24"/>
        <v>-2.3676858762948516</v>
      </c>
      <c r="P290" s="28">
        <f t="shared" si="25"/>
        <v>9.3697302738423194E-2</v>
      </c>
      <c r="Q290" s="28">
        <f t="shared" si="26"/>
        <v>8.567023298294861E-2</v>
      </c>
      <c r="R290" s="5">
        <f t="shared" si="27"/>
        <v>0.91432976701705138</v>
      </c>
      <c r="S290" s="5">
        <f t="shared" si="28"/>
        <v>-3.8897141064643641E-2</v>
      </c>
      <c r="T290" s="5">
        <f t="shared" si="29"/>
        <v>1</v>
      </c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</row>
    <row r="291" spans="1:37" ht="15" x14ac:dyDescent="0.25">
      <c r="A291" s="8">
        <v>1</v>
      </c>
      <c r="B291" s="8">
        <v>67</v>
      </c>
      <c r="C291" s="8">
        <v>1</v>
      </c>
      <c r="D291" s="8">
        <v>3</v>
      </c>
      <c r="E291" s="8">
        <v>152</v>
      </c>
      <c r="F291" s="8">
        <v>212</v>
      </c>
      <c r="G291" s="8">
        <v>0</v>
      </c>
      <c r="H291" s="8">
        <v>2</v>
      </c>
      <c r="I291" s="8">
        <v>150</v>
      </c>
      <c r="J291" s="8">
        <v>0</v>
      </c>
      <c r="K291" s="8">
        <v>0.8</v>
      </c>
      <c r="L291" s="8">
        <v>2</v>
      </c>
      <c r="M291" s="8">
        <v>0</v>
      </c>
      <c r="N291" s="8">
        <v>7</v>
      </c>
      <c r="O291" s="28">
        <f t="shared" si="24"/>
        <v>0.56857295862864365</v>
      </c>
      <c r="P291" s="28">
        <f t="shared" si="25"/>
        <v>1.7657454608307128</v>
      </c>
      <c r="Q291" s="28">
        <f t="shared" si="26"/>
        <v>0.63843382763804934</v>
      </c>
      <c r="R291" s="5">
        <f t="shared" si="27"/>
        <v>0.63843382763804934</v>
      </c>
      <c r="S291" s="5">
        <f t="shared" si="28"/>
        <v>-0.19488410980374654</v>
      </c>
      <c r="T291" s="5">
        <f t="shared" si="29"/>
        <v>1</v>
      </c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</row>
    <row r="292" spans="1:37" ht="15" x14ac:dyDescent="0.25">
      <c r="A292" s="8">
        <v>0</v>
      </c>
      <c r="B292" s="8">
        <v>55</v>
      </c>
      <c r="C292" s="8">
        <v>0</v>
      </c>
      <c r="D292" s="8">
        <v>2</v>
      </c>
      <c r="E292" s="8">
        <v>132</v>
      </c>
      <c r="F292" s="8">
        <v>342</v>
      </c>
      <c r="G292" s="8">
        <v>0</v>
      </c>
      <c r="H292" s="8">
        <v>0</v>
      </c>
      <c r="I292" s="8">
        <v>166</v>
      </c>
      <c r="J292" s="8">
        <v>0</v>
      </c>
      <c r="K292" s="8">
        <v>1.2</v>
      </c>
      <c r="L292" s="8">
        <v>1</v>
      </c>
      <c r="M292" s="8">
        <v>0</v>
      </c>
      <c r="N292" s="8">
        <v>3</v>
      </c>
      <c r="O292" s="28">
        <f t="shared" si="24"/>
        <v>-3.6489484715939069</v>
      </c>
      <c r="P292" s="28">
        <f t="shared" si="25"/>
        <v>2.6018473563361892E-2</v>
      </c>
      <c r="Q292" s="28">
        <f t="shared" si="26"/>
        <v>2.5358679432934319E-2</v>
      </c>
      <c r="R292" s="5">
        <f t="shared" si="27"/>
        <v>0.97464132056706565</v>
      </c>
      <c r="S292" s="5">
        <f t="shared" si="28"/>
        <v>-1.1155180360984202E-2</v>
      </c>
      <c r="T292" s="5">
        <f t="shared" si="29"/>
        <v>1</v>
      </c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</row>
    <row r="293" spans="1:37" ht="15" x14ac:dyDescent="0.25">
      <c r="A293" s="8">
        <v>1</v>
      </c>
      <c r="B293" s="8">
        <v>44</v>
      </c>
      <c r="C293" s="8">
        <v>1</v>
      </c>
      <c r="D293" s="8">
        <v>4</v>
      </c>
      <c r="E293" s="8">
        <v>120</v>
      </c>
      <c r="F293" s="8">
        <v>169</v>
      </c>
      <c r="G293" s="8">
        <v>0</v>
      </c>
      <c r="H293" s="8">
        <v>0</v>
      </c>
      <c r="I293" s="8">
        <v>144</v>
      </c>
      <c r="J293" s="8">
        <v>1</v>
      </c>
      <c r="K293" s="8">
        <v>2.8</v>
      </c>
      <c r="L293" s="8">
        <v>3</v>
      </c>
      <c r="M293" s="8">
        <v>0</v>
      </c>
      <c r="N293" s="8">
        <v>6</v>
      </c>
      <c r="O293" s="28">
        <f t="shared" si="24"/>
        <v>1.7665413974245388</v>
      </c>
      <c r="P293" s="28">
        <f t="shared" si="25"/>
        <v>5.8505834857543624</v>
      </c>
      <c r="Q293" s="28">
        <f t="shared" si="26"/>
        <v>0.85402703257620638</v>
      </c>
      <c r="R293" s="5">
        <f t="shared" si="27"/>
        <v>0.85402703257620638</v>
      </c>
      <c r="S293" s="5">
        <f t="shared" si="28"/>
        <v>-6.8528382340419969E-2</v>
      </c>
      <c r="T293" s="5">
        <f t="shared" si="29"/>
        <v>1</v>
      </c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</row>
    <row r="294" spans="1:37" ht="15" x14ac:dyDescent="0.25">
      <c r="A294" s="8">
        <v>1</v>
      </c>
      <c r="B294" s="8">
        <v>63</v>
      </c>
      <c r="C294" s="8">
        <v>1</v>
      </c>
      <c r="D294" s="8">
        <v>4</v>
      </c>
      <c r="E294" s="8">
        <v>140</v>
      </c>
      <c r="F294" s="8">
        <v>187</v>
      </c>
      <c r="G294" s="8">
        <v>0</v>
      </c>
      <c r="H294" s="8">
        <v>2</v>
      </c>
      <c r="I294" s="8">
        <v>144</v>
      </c>
      <c r="J294" s="8">
        <v>1</v>
      </c>
      <c r="K294" s="8">
        <v>4</v>
      </c>
      <c r="L294" s="8">
        <v>1</v>
      </c>
      <c r="M294" s="8">
        <v>2</v>
      </c>
      <c r="N294" s="8">
        <v>7</v>
      </c>
      <c r="O294" s="28">
        <f t="shared" si="24"/>
        <v>4.5947791035548784</v>
      </c>
      <c r="P294" s="28">
        <f t="shared" si="25"/>
        <v>98.966271835313279</v>
      </c>
      <c r="Q294" s="28">
        <f t="shared" si="26"/>
        <v>0.98999662604555838</v>
      </c>
      <c r="R294" s="5">
        <f t="shared" si="27"/>
        <v>0.98999662604555838</v>
      </c>
      <c r="S294" s="5">
        <f t="shared" si="28"/>
        <v>-4.3662854956754106E-3</v>
      </c>
      <c r="T294" s="5">
        <f t="shared" si="29"/>
        <v>0</v>
      </c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</row>
    <row r="295" spans="1:37" ht="15" x14ac:dyDescent="0.25">
      <c r="A295" s="8">
        <v>1</v>
      </c>
      <c r="B295" s="8">
        <v>63</v>
      </c>
      <c r="C295" s="8">
        <v>0</v>
      </c>
      <c r="D295" s="8">
        <v>4</v>
      </c>
      <c r="E295" s="8">
        <v>124</v>
      </c>
      <c r="F295" s="8">
        <v>197</v>
      </c>
      <c r="G295" s="8">
        <v>0</v>
      </c>
      <c r="H295" s="8">
        <v>0</v>
      </c>
      <c r="I295" s="8">
        <v>136</v>
      </c>
      <c r="J295" s="8">
        <v>1</v>
      </c>
      <c r="K295" s="8">
        <v>0</v>
      </c>
      <c r="L295" s="8">
        <v>2</v>
      </c>
      <c r="M295" s="8">
        <v>0</v>
      </c>
      <c r="N295" s="8">
        <v>3</v>
      </c>
      <c r="O295" s="28">
        <f t="shared" si="24"/>
        <v>-1.7077208078849848</v>
      </c>
      <c r="P295" s="28">
        <f t="shared" si="25"/>
        <v>0.18127849063591206</v>
      </c>
      <c r="Q295" s="28">
        <f t="shared" si="26"/>
        <v>0.1534595711958873</v>
      </c>
      <c r="R295" s="5">
        <f t="shared" si="27"/>
        <v>0.1534595711958873</v>
      </c>
      <c r="S295" s="5">
        <f t="shared" si="28"/>
        <v>-0.81400601966011443</v>
      </c>
      <c r="T295" s="5">
        <f t="shared" si="29"/>
        <v>1</v>
      </c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</row>
    <row r="296" spans="1:37" ht="15" x14ac:dyDescent="0.25">
      <c r="A296" s="8">
        <v>0</v>
      </c>
      <c r="B296" s="8">
        <v>41</v>
      </c>
      <c r="C296" s="8">
        <v>1</v>
      </c>
      <c r="D296" s="8">
        <v>2</v>
      </c>
      <c r="E296" s="8">
        <v>120</v>
      </c>
      <c r="F296" s="8">
        <v>157</v>
      </c>
      <c r="G296" s="8">
        <v>0</v>
      </c>
      <c r="H296" s="8">
        <v>0</v>
      </c>
      <c r="I296" s="8">
        <v>182</v>
      </c>
      <c r="J296" s="8">
        <v>0</v>
      </c>
      <c r="K296" s="8">
        <v>0</v>
      </c>
      <c r="L296" s="8">
        <v>1</v>
      </c>
      <c r="M296" s="8">
        <v>0</v>
      </c>
      <c r="N296" s="8">
        <v>3</v>
      </c>
      <c r="O296" s="28">
        <f t="shared" si="24"/>
        <v>-3.9786695974228641</v>
      </c>
      <c r="P296" s="28">
        <f t="shared" si="25"/>
        <v>1.8710515304319005E-2</v>
      </c>
      <c r="Q296" s="28">
        <f t="shared" si="26"/>
        <v>1.8366861854498106E-2</v>
      </c>
      <c r="R296" s="5">
        <f t="shared" si="27"/>
        <v>0.9816331381455019</v>
      </c>
      <c r="S296" s="5">
        <f t="shared" si="28"/>
        <v>-8.0507890434704313E-3</v>
      </c>
      <c r="T296" s="5">
        <f t="shared" si="29"/>
        <v>0</v>
      </c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</row>
    <row r="297" spans="1:37" ht="15" x14ac:dyDescent="0.25">
      <c r="A297" s="8">
        <v>1</v>
      </c>
      <c r="B297" s="8">
        <v>59</v>
      </c>
      <c r="C297" s="8">
        <v>1</v>
      </c>
      <c r="D297" s="8">
        <v>4</v>
      </c>
      <c r="E297" s="8">
        <v>164</v>
      </c>
      <c r="F297" s="8">
        <v>176</v>
      </c>
      <c r="G297" s="8">
        <v>1</v>
      </c>
      <c r="H297" s="8">
        <v>2</v>
      </c>
      <c r="I297" s="8">
        <v>90</v>
      </c>
      <c r="J297" s="8">
        <v>0</v>
      </c>
      <c r="K297" s="8">
        <v>1</v>
      </c>
      <c r="L297" s="8">
        <v>2</v>
      </c>
      <c r="M297" s="8">
        <v>2</v>
      </c>
      <c r="N297" s="8">
        <v>6</v>
      </c>
      <c r="O297" s="28">
        <f t="shared" si="24"/>
        <v>3.8251742148664976</v>
      </c>
      <c r="P297" s="28">
        <f t="shared" si="25"/>
        <v>45.840785817102415</v>
      </c>
      <c r="Q297" s="28">
        <f t="shared" si="26"/>
        <v>0.97865108403807177</v>
      </c>
      <c r="R297" s="5">
        <f t="shared" si="27"/>
        <v>0.97865108403807177</v>
      </c>
      <c r="S297" s="5">
        <f t="shared" si="28"/>
        <v>-9.3721184996311269E-3</v>
      </c>
      <c r="T297" s="5">
        <f t="shared" si="29"/>
        <v>1</v>
      </c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</row>
    <row r="298" spans="1:37" ht="15" x14ac:dyDescent="0.25">
      <c r="A298" s="8">
        <v>1</v>
      </c>
      <c r="B298" s="8">
        <v>57</v>
      </c>
      <c r="C298" s="8">
        <v>0</v>
      </c>
      <c r="D298" s="8">
        <v>4</v>
      </c>
      <c r="E298" s="8">
        <v>140</v>
      </c>
      <c r="F298" s="8">
        <v>241</v>
      </c>
      <c r="G298" s="8">
        <v>0</v>
      </c>
      <c r="H298" s="8">
        <v>0</v>
      </c>
      <c r="I298" s="8">
        <v>123</v>
      </c>
      <c r="J298" s="8">
        <v>1</v>
      </c>
      <c r="K298" s="8">
        <v>0.2</v>
      </c>
      <c r="L298" s="8">
        <v>2</v>
      </c>
      <c r="M298" s="8">
        <v>0</v>
      </c>
      <c r="N298" s="8">
        <v>7</v>
      </c>
      <c r="O298" s="28">
        <f t="shared" si="24"/>
        <v>0.67556246513532781</v>
      </c>
      <c r="P298" s="28">
        <f t="shared" si="25"/>
        <v>1.9651379867793592</v>
      </c>
      <c r="Q298" s="28">
        <f t="shared" si="26"/>
        <v>0.66274756707489058</v>
      </c>
      <c r="R298" s="5">
        <f t="shared" si="27"/>
        <v>0.66274756707489058</v>
      </c>
      <c r="S298" s="5">
        <f t="shared" si="28"/>
        <v>-0.17865185787308743</v>
      </c>
      <c r="T298" s="5">
        <f t="shared" si="29"/>
        <v>1</v>
      </c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</row>
    <row r="299" spans="1:37" ht="15" x14ac:dyDescent="0.25">
      <c r="A299" s="8">
        <v>1</v>
      </c>
      <c r="B299" s="8">
        <v>45</v>
      </c>
      <c r="C299" s="8">
        <v>1</v>
      </c>
      <c r="D299" s="8">
        <v>1</v>
      </c>
      <c r="E299" s="8">
        <v>110</v>
      </c>
      <c r="F299" s="8">
        <v>264</v>
      </c>
      <c r="G299" s="8">
        <v>0</v>
      </c>
      <c r="H299" s="8">
        <v>0</v>
      </c>
      <c r="I299" s="8">
        <v>132</v>
      </c>
      <c r="J299" s="8">
        <v>0</v>
      </c>
      <c r="K299" s="8">
        <v>1.2</v>
      </c>
      <c r="L299" s="8">
        <v>2</v>
      </c>
      <c r="M299" s="8">
        <v>0</v>
      </c>
      <c r="N299" s="8">
        <v>7</v>
      </c>
      <c r="O299" s="28">
        <f t="shared" si="24"/>
        <v>-1.0414152511448993</v>
      </c>
      <c r="P299" s="28">
        <f t="shared" si="25"/>
        <v>0.35295480862205852</v>
      </c>
      <c r="Q299" s="28">
        <f t="shared" si="26"/>
        <v>0.26087701257481893</v>
      </c>
      <c r="R299" s="5">
        <f t="shared" si="27"/>
        <v>0.26087701257481893</v>
      </c>
      <c r="S299" s="5">
        <f t="shared" si="28"/>
        <v>-0.58356418748368444</v>
      </c>
      <c r="T299" s="5">
        <f t="shared" si="29"/>
        <v>1</v>
      </c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</row>
    <row r="300" spans="1:37" ht="15" x14ac:dyDescent="0.25">
      <c r="A300" s="8">
        <v>1</v>
      </c>
      <c r="B300" s="8">
        <v>68</v>
      </c>
      <c r="C300" s="8">
        <v>1</v>
      </c>
      <c r="D300" s="8">
        <v>4</v>
      </c>
      <c r="E300" s="8">
        <v>144</v>
      </c>
      <c r="F300" s="8">
        <v>193</v>
      </c>
      <c r="G300" s="8">
        <v>1</v>
      </c>
      <c r="H300" s="8">
        <v>0</v>
      </c>
      <c r="I300" s="8">
        <v>141</v>
      </c>
      <c r="J300" s="8">
        <v>0</v>
      </c>
      <c r="K300" s="8">
        <v>3.4</v>
      </c>
      <c r="L300" s="8">
        <v>2</v>
      </c>
      <c r="M300" s="8">
        <v>2</v>
      </c>
      <c r="N300" s="8">
        <v>7</v>
      </c>
      <c r="O300" s="28">
        <f t="shared" si="24"/>
        <v>2.6952672092065262</v>
      </c>
      <c r="P300" s="28">
        <f t="shared" si="25"/>
        <v>14.809475452815729</v>
      </c>
      <c r="Q300" s="28">
        <f t="shared" si="26"/>
        <v>0.93674679447875697</v>
      </c>
      <c r="R300" s="5">
        <f t="shared" si="27"/>
        <v>0.93674679447875697</v>
      </c>
      <c r="S300" s="5">
        <f t="shared" si="28"/>
        <v>-2.8377784375151257E-2</v>
      </c>
      <c r="T300" s="5">
        <f t="shared" si="29"/>
        <v>0</v>
      </c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</row>
    <row r="301" spans="1:37" ht="15" x14ac:dyDescent="0.25">
      <c r="A301" s="8">
        <v>1</v>
      </c>
      <c r="B301" s="8">
        <v>57</v>
      </c>
      <c r="C301" s="8">
        <v>1</v>
      </c>
      <c r="D301" s="8">
        <v>4</v>
      </c>
      <c r="E301" s="8">
        <v>130</v>
      </c>
      <c r="F301" s="8">
        <v>131</v>
      </c>
      <c r="G301" s="8">
        <v>0</v>
      </c>
      <c r="H301" s="8">
        <v>0</v>
      </c>
      <c r="I301" s="8">
        <v>115</v>
      </c>
      <c r="J301" s="8">
        <v>1</v>
      </c>
      <c r="K301" s="8">
        <v>1.2</v>
      </c>
      <c r="L301" s="8">
        <v>2</v>
      </c>
      <c r="M301" s="8">
        <v>1</v>
      </c>
      <c r="N301" s="8">
        <v>7</v>
      </c>
      <c r="O301" s="28">
        <f t="shared" si="24"/>
        <v>2.8781584044417885</v>
      </c>
      <c r="P301" s="28">
        <f t="shared" si="25"/>
        <v>17.781496683040494</v>
      </c>
      <c r="Q301" s="28">
        <f t="shared" si="26"/>
        <v>0.94675610698784241</v>
      </c>
      <c r="R301" s="5">
        <f t="shared" si="27"/>
        <v>0.94675610698784241</v>
      </c>
      <c r="S301" s="5">
        <f t="shared" si="28"/>
        <v>-2.3761884810181311E-2</v>
      </c>
      <c r="T301" s="5">
        <f t="shared" si="29"/>
        <v>1</v>
      </c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</row>
    <row r="302" spans="1:37" ht="15" x14ac:dyDescent="0.25">
      <c r="A302" s="8">
        <v>1</v>
      </c>
      <c r="B302" s="8">
        <v>57</v>
      </c>
      <c r="C302" s="8">
        <v>0</v>
      </c>
      <c r="D302" s="8">
        <v>2</v>
      </c>
      <c r="E302" s="8">
        <v>130</v>
      </c>
      <c r="F302" s="8">
        <v>236</v>
      </c>
      <c r="G302" s="8">
        <v>0</v>
      </c>
      <c r="H302" s="8">
        <v>2</v>
      </c>
      <c r="I302" s="8">
        <v>174</v>
      </c>
      <c r="J302" s="8">
        <v>0</v>
      </c>
      <c r="K302" s="8">
        <v>0</v>
      </c>
      <c r="L302" s="8">
        <v>2</v>
      </c>
      <c r="M302" s="8">
        <v>1</v>
      </c>
      <c r="N302" s="8">
        <v>3</v>
      </c>
      <c r="O302" s="28">
        <f t="shared" si="24"/>
        <v>-2.388797472724181</v>
      </c>
      <c r="P302" s="28">
        <f t="shared" si="25"/>
        <v>9.173993734975984E-2</v>
      </c>
      <c r="Q302" s="28">
        <f t="shared" si="26"/>
        <v>8.4030943827576754E-2</v>
      </c>
      <c r="R302" s="5">
        <f t="shared" si="27"/>
        <v>8.4030943827576754E-2</v>
      </c>
      <c r="S302" s="5">
        <f t="shared" si="28"/>
        <v>-1.0755607584750191</v>
      </c>
      <c r="T302" s="5">
        <f t="shared" si="29"/>
        <v>1</v>
      </c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</row>
    <row r="303" spans="1:37" ht="15.75" customHeight="1" x14ac:dyDescent="0.25">
      <c r="Y303" s="3"/>
      <c r="Z303" s="3"/>
      <c r="AA303" s="3"/>
      <c r="AB303" s="3"/>
    </row>
    <row r="304" spans="1:37" ht="15.75" customHeight="1" x14ac:dyDescent="0.25">
      <c r="Y304" s="3"/>
      <c r="Z304" s="3"/>
      <c r="AA304" s="3"/>
    </row>
    <row r="305" spans="25:27" ht="15.75" customHeight="1" x14ac:dyDescent="0.25">
      <c r="Y305" s="3"/>
      <c r="Z305" s="3"/>
      <c r="AA305" s="3"/>
    </row>
  </sheetData>
  <mergeCells count="5">
    <mergeCell ref="V5:V6"/>
    <mergeCell ref="Y2:Z2"/>
    <mergeCell ref="X1:AA1"/>
    <mergeCell ref="X9:X10"/>
    <mergeCell ref="AB34:AG43"/>
  </mergeCells>
  <pageMargins left="0.7" right="0.7" top="0.75" bottom="0.75" header="0.3" footer="0.3"/>
  <pageSetup orientation="portrait" horizontalDpi="4294967292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958C7-610C-4D34-AEEB-6CB7573451CF}">
  <dimension ref="B2:O17"/>
  <sheetViews>
    <sheetView showGridLines="0" topLeftCell="D1" workbookViewId="0">
      <selection activeCell="H9" sqref="H9"/>
    </sheetView>
  </sheetViews>
  <sheetFormatPr defaultRowHeight="12.75" x14ac:dyDescent="0.2"/>
  <cols>
    <col min="2" max="2" width="16.5703125" bestFit="1" customWidth="1"/>
    <col min="3" max="3" width="22.28515625" bestFit="1" customWidth="1"/>
    <col min="5" max="5" width="27" bestFit="1" customWidth="1"/>
    <col min="6" max="6" width="27" style="25" bestFit="1" customWidth="1"/>
    <col min="7" max="7" width="27" style="26" bestFit="1" customWidth="1"/>
    <col min="8" max="8" width="76.140625" bestFit="1" customWidth="1"/>
    <col min="10" max="10" width="45.85546875" bestFit="1" customWidth="1"/>
  </cols>
  <sheetData>
    <row r="2" spans="2:15" ht="25.5" x14ac:dyDescent="0.35">
      <c r="B2" s="20"/>
      <c r="C2" s="20"/>
      <c r="D2" s="20"/>
      <c r="E2" s="20"/>
      <c r="F2" s="24"/>
      <c r="G2" s="23"/>
      <c r="H2" s="20"/>
      <c r="I2" s="20"/>
      <c r="J2" s="20"/>
      <c r="K2" s="20"/>
      <c r="L2" s="20"/>
      <c r="M2" s="20"/>
      <c r="N2" s="20"/>
      <c r="O2" s="20"/>
    </row>
    <row r="3" spans="2:15" ht="26.25" x14ac:dyDescent="0.4">
      <c r="B3" s="20" t="s">
        <v>46</v>
      </c>
      <c r="C3" s="44" t="s">
        <v>42</v>
      </c>
      <c r="D3" s="44"/>
      <c r="E3" s="20">
        <f>0.1</f>
        <v>0.1</v>
      </c>
      <c r="F3" s="24">
        <v>4.45E-3</v>
      </c>
      <c r="G3" s="23">
        <v>0.99996660000000004</v>
      </c>
      <c r="H3" s="21" t="s">
        <v>56</v>
      </c>
      <c r="I3" s="20" t="s">
        <v>47</v>
      </c>
      <c r="J3" s="20" t="s">
        <v>49</v>
      </c>
      <c r="K3" s="20"/>
      <c r="L3" s="20"/>
      <c r="N3" s="20"/>
      <c r="O3" s="20"/>
    </row>
    <row r="4" spans="2:15" ht="26.25" x14ac:dyDescent="0.4">
      <c r="B4" s="20" t="s">
        <v>45</v>
      </c>
      <c r="C4" s="20" t="s">
        <v>43</v>
      </c>
      <c r="D4" s="22" t="s">
        <v>44</v>
      </c>
      <c r="E4" s="20">
        <f>1-E3</f>
        <v>0.9</v>
      </c>
      <c r="F4" s="24">
        <f>1-F3</f>
        <v>0.99555000000000005</v>
      </c>
      <c r="G4" s="23">
        <f>1-G3</f>
        <v>3.3399999999961238E-5</v>
      </c>
      <c r="H4" s="21" t="s">
        <v>57</v>
      </c>
      <c r="I4" s="20"/>
      <c r="J4" s="20"/>
      <c r="K4" s="20"/>
      <c r="L4" s="20"/>
      <c r="M4" s="20"/>
      <c r="N4" s="20"/>
      <c r="O4" s="20"/>
    </row>
    <row r="5" spans="2:15" ht="26.25" x14ac:dyDescent="0.4">
      <c r="B5" s="20"/>
      <c r="C5" s="20" t="s">
        <v>34</v>
      </c>
      <c r="D5" s="22" t="s">
        <v>48</v>
      </c>
      <c r="E5" s="27">
        <f>E3/E4</f>
        <v>0.11111111111111112</v>
      </c>
      <c r="F5" s="24">
        <f>F3/F4</f>
        <v>4.4698910150168247E-3</v>
      </c>
      <c r="G5" s="23">
        <f>G3/G4</f>
        <v>29939.11976051379</v>
      </c>
      <c r="H5" s="21" t="s">
        <v>50</v>
      </c>
      <c r="I5" s="20"/>
      <c r="J5" s="20"/>
      <c r="K5" s="20"/>
      <c r="L5" s="20"/>
      <c r="M5" s="20"/>
      <c r="N5" s="20"/>
      <c r="O5" s="20"/>
    </row>
    <row r="6" spans="2:15" ht="25.5" x14ac:dyDescent="0.35">
      <c r="B6" s="20"/>
      <c r="C6" s="43" t="s">
        <v>51</v>
      </c>
      <c r="D6" s="43"/>
      <c r="E6" s="20">
        <f>LOG(E5)</f>
        <v>-0.95424250943932487</v>
      </c>
      <c r="F6" s="20">
        <f t="shared" ref="F6:G6" si="0">LOG(F5)</f>
        <v>-2.3497030657167923</v>
      </c>
      <c r="G6" s="20">
        <f t="shared" si="0"/>
        <v>4.4762390275109976</v>
      </c>
      <c r="H6" s="20" t="s">
        <v>55</v>
      </c>
      <c r="I6" s="20"/>
      <c r="J6" s="20"/>
      <c r="K6" s="20"/>
      <c r="L6" s="20"/>
      <c r="M6" s="20"/>
      <c r="N6" s="20"/>
      <c r="O6" s="20"/>
    </row>
    <row r="7" spans="2:15" ht="25.5" x14ac:dyDescent="0.35">
      <c r="B7" s="20"/>
      <c r="C7" s="20"/>
      <c r="D7" s="20"/>
      <c r="E7" s="20"/>
      <c r="F7" s="24"/>
      <c r="G7" s="23"/>
      <c r="H7" s="20" t="s">
        <v>58</v>
      </c>
      <c r="I7" s="20"/>
      <c r="J7" s="20"/>
      <c r="K7" s="20"/>
      <c r="L7" s="20"/>
      <c r="M7" s="20"/>
      <c r="N7" s="20"/>
      <c r="O7" s="20"/>
    </row>
    <row r="8" spans="2:15" ht="25.5" x14ac:dyDescent="0.35">
      <c r="B8" s="20"/>
      <c r="C8" s="20"/>
      <c r="D8" s="20"/>
      <c r="E8" s="20"/>
      <c r="F8" s="24"/>
      <c r="G8" s="23"/>
      <c r="H8" s="20" t="s">
        <v>59</v>
      </c>
      <c r="I8" s="20"/>
      <c r="J8" s="20"/>
      <c r="K8" s="20"/>
      <c r="L8" s="20"/>
      <c r="M8" s="20"/>
      <c r="N8" s="20"/>
      <c r="O8" s="20"/>
    </row>
    <row r="9" spans="2:15" ht="25.5" x14ac:dyDescent="0.35">
      <c r="B9" s="20"/>
      <c r="C9" s="20"/>
      <c r="D9" s="20"/>
      <c r="E9" s="20"/>
      <c r="F9" s="24"/>
      <c r="G9" s="23"/>
      <c r="H9" s="20"/>
      <c r="I9" s="20"/>
      <c r="J9" s="20"/>
      <c r="K9" s="20"/>
      <c r="L9" s="20"/>
      <c r="M9" s="20"/>
      <c r="N9" s="20"/>
      <c r="O9" s="20"/>
    </row>
    <row r="10" spans="2:15" ht="25.5" x14ac:dyDescent="0.35">
      <c r="B10" s="20"/>
      <c r="C10" s="20"/>
      <c r="D10" s="20"/>
      <c r="E10" s="20"/>
      <c r="F10" s="24"/>
      <c r="G10" s="23"/>
      <c r="H10" s="20"/>
      <c r="I10" s="20"/>
      <c r="J10" s="20"/>
      <c r="K10" s="20"/>
      <c r="L10" s="20"/>
      <c r="M10" s="20"/>
      <c r="N10" s="20"/>
      <c r="O10" s="20"/>
    </row>
    <row r="11" spans="2:15" ht="25.5" x14ac:dyDescent="0.35">
      <c r="B11" s="20"/>
      <c r="C11" s="20"/>
      <c r="D11" s="20"/>
      <c r="E11" s="20"/>
      <c r="F11" s="24"/>
      <c r="G11" s="23"/>
      <c r="H11" s="20"/>
      <c r="I11" s="20"/>
      <c r="J11" s="20"/>
      <c r="K11" s="20"/>
      <c r="L11" s="20"/>
      <c r="M11" s="20"/>
      <c r="N11" s="20"/>
      <c r="O11" s="20"/>
    </row>
    <row r="12" spans="2:15" ht="25.5" x14ac:dyDescent="0.35">
      <c r="B12" s="20"/>
      <c r="C12" s="20"/>
      <c r="D12" s="20"/>
      <c r="E12" s="20"/>
      <c r="F12" s="24"/>
      <c r="G12" s="23"/>
      <c r="H12" s="20"/>
      <c r="I12" s="20"/>
      <c r="J12" s="20"/>
      <c r="K12" s="20"/>
      <c r="L12" s="20"/>
      <c r="M12" s="20"/>
      <c r="N12" s="20"/>
      <c r="O12" s="20"/>
    </row>
    <row r="13" spans="2:15" ht="25.5" x14ac:dyDescent="0.35">
      <c r="B13" s="20"/>
      <c r="C13" s="20"/>
      <c r="D13" s="20"/>
      <c r="E13" s="20"/>
      <c r="F13" s="24"/>
      <c r="G13" s="23"/>
      <c r="H13" s="20"/>
      <c r="I13" s="20"/>
      <c r="J13" s="20"/>
      <c r="K13" s="20"/>
      <c r="L13" s="20"/>
      <c r="M13" s="20"/>
      <c r="N13" s="20"/>
      <c r="O13" s="20"/>
    </row>
    <row r="14" spans="2:15" ht="25.5" x14ac:dyDescent="0.35">
      <c r="B14" s="20"/>
      <c r="C14" s="20"/>
      <c r="D14" s="20"/>
      <c r="E14" s="20"/>
      <c r="F14" s="24"/>
      <c r="G14" s="23"/>
      <c r="H14" s="20"/>
      <c r="I14" s="20"/>
      <c r="J14" s="20"/>
      <c r="K14" s="20"/>
      <c r="L14" s="20"/>
      <c r="M14" s="20"/>
      <c r="N14" s="20"/>
      <c r="O14" s="20"/>
    </row>
    <row r="15" spans="2:15" ht="25.5" x14ac:dyDescent="0.35">
      <c r="B15" s="20"/>
      <c r="C15" s="20"/>
      <c r="D15" s="20"/>
      <c r="E15" s="20"/>
      <c r="F15" s="24"/>
      <c r="G15" s="23"/>
      <c r="H15" s="20"/>
      <c r="I15" s="20"/>
      <c r="J15" s="20"/>
      <c r="K15" s="20"/>
      <c r="L15" s="20"/>
      <c r="M15" s="20"/>
      <c r="N15" s="20"/>
      <c r="O15" s="20"/>
    </row>
    <row r="16" spans="2:15" ht="25.5" x14ac:dyDescent="0.35">
      <c r="B16" s="20"/>
      <c r="C16" s="20"/>
      <c r="D16" s="20"/>
      <c r="E16" s="20"/>
      <c r="F16" s="24"/>
      <c r="G16" s="23"/>
      <c r="H16" s="20"/>
      <c r="I16" s="20"/>
      <c r="J16" s="20"/>
      <c r="K16" s="20"/>
      <c r="L16" s="20"/>
      <c r="M16" s="20"/>
      <c r="N16" s="20"/>
      <c r="O16" s="20"/>
    </row>
    <row r="17" spans="2:15" ht="25.5" x14ac:dyDescent="0.35">
      <c r="B17" s="20"/>
      <c r="C17" s="20"/>
      <c r="D17" s="20"/>
      <c r="E17" s="20"/>
      <c r="F17" s="24"/>
      <c r="G17" s="23"/>
      <c r="H17" s="20"/>
      <c r="I17" s="20"/>
      <c r="J17" s="20"/>
      <c r="K17" s="20"/>
      <c r="L17" s="20"/>
      <c r="M17" s="20"/>
      <c r="N17" s="20"/>
      <c r="O17" s="20"/>
    </row>
  </sheetData>
  <mergeCells count="2">
    <mergeCell ref="C6:D6"/>
    <mergeCell ref="C3:D3"/>
  </mergeCells>
  <pageMargins left="0.7" right="0.7" top="0.75" bottom="0.75" header="0.3" footer="0.3"/>
  <pageSetup orientation="portrait" horizontalDpi="4294967292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Sheet1</vt:lpstr>
      <vt:lpstr>Info</vt:lpstr>
      <vt:lpstr>Actual</vt:lpstr>
      <vt:lpstr>Predicted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Sattik Mohanta</cp:lastModifiedBy>
  <dcterms:modified xsi:type="dcterms:W3CDTF">2021-09-23T09:06:02Z</dcterms:modified>
</cp:coreProperties>
</file>