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22C99E90-8120-4221-AD1C-E68F7542305E}" xr6:coauthVersionLast="47" xr6:coauthVersionMax="47" xr10:uidLastSave="{00000000-0000-0000-0000-000000000000}"/>
  <bookViews>
    <workbookView xWindow="-120" yWindow="-120" windowWidth="20730" windowHeight="11160" activeTab="2" xr2:uid="{4FEAEA80-D5A9-4F4F-8015-98DD1BB07A66}"/>
  </bookViews>
  <sheets>
    <sheet name="Playlist" sheetId="5" r:id="rId1"/>
    <sheet name="POA" sheetId="3" r:id="rId2"/>
    <sheet name="Python" sheetId="4" r:id="rId3"/>
    <sheet name="Stats" sheetId="1" r:id="rId4"/>
    <sheet name="ML" sheetId="6" r:id="rId5"/>
    <sheet name="FE" sheetId="14" r:id="rId6"/>
    <sheet name="DL" sheetId="7" r:id="rId7"/>
    <sheet name="NLP" sheetId="8" r:id="rId8"/>
    <sheet name="DML" sheetId="13" r:id="rId9"/>
    <sheet name="MLOPS" sheetId="9" r:id="rId10"/>
    <sheet name="DSIQ" sheetId="15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3" l="1"/>
  <c r="A1" i="14"/>
  <c r="A1" i="15"/>
  <c r="D77" i="15"/>
  <c r="C77" i="15"/>
  <c r="F1" i="3"/>
  <c r="A6" i="3"/>
  <c r="D17" i="14"/>
  <c r="C17" i="14"/>
  <c r="A1" i="13"/>
  <c r="A9" i="3"/>
  <c r="D14" i="13"/>
  <c r="C14" i="13"/>
  <c r="A4" i="3"/>
  <c r="A5" i="3"/>
  <c r="A7" i="3"/>
  <c r="A8" i="3"/>
  <c r="A10" i="3"/>
  <c r="A3" i="3"/>
  <c r="A1" i="4"/>
  <c r="A1" i="9"/>
  <c r="A1" i="8"/>
  <c r="A1" i="7"/>
  <c r="A1" i="6"/>
  <c r="A1" i="1"/>
  <c r="C148" i="6"/>
  <c r="C30" i="1"/>
  <c r="C81" i="7"/>
  <c r="C31" i="8"/>
  <c r="C8" i="9"/>
  <c r="D8" i="9"/>
  <c r="D31" i="8"/>
  <c r="D81" i="7"/>
  <c r="D148" i="6"/>
  <c r="D54" i="4"/>
  <c r="D30" i="1"/>
  <c r="H1" i="3"/>
  <c r="D1" i="3"/>
  <c r="B1" i="3"/>
  <c r="C54" i="4"/>
  <c r="I11" i="3"/>
  <c r="G9" i="3"/>
  <c r="E8" i="3"/>
  <c r="G4" i="3"/>
  <c r="E11" i="3"/>
  <c r="C6" i="3"/>
  <c r="F7" i="3"/>
  <c r="F5" i="3"/>
  <c r="H5" i="3"/>
  <c r="C3" i="3"/>
  <c r="H3" i="3"/>
  <c r="G10" i="3"/>
  <c r="G3" i="3"/>
  <c r="H4" i="3"/>
  <c r="I9" i="3"/>
  <c r="B9" i="3"/>
  <c r="I7" i="3"/>
  <c r="H6" i="3"/>
  <c r="D11" i="3"/>
  <c r="B11" i="3"/>
  <c r="F6" i="3"/>
  <c r="B8" i="3"/>
  <c r="E5" i="3"/>
  <c r="C5" i="3"/>
  <c r="I5" i="3"/>
  <c r="I3" i="3"/>
  <c r="B10" i="3"/>
  <c r="F9" i="3"/>
  <c r="D5" i="3"/>
  <c r="H10" i="3"/>
  <c r="E7" i="3"/>
  <c r="D3" i="3"/>
  <c r="D9" i="3"/>
  <c r="D7" i="3"/>
  <c r="B6" i="3"/>
  <c r="G7" i="3"/>
  <c r="I8" i="3"/>
  <c r="B7" i="3"/>
  <c r="E10" i="3"/>
  <c r="H7" i="3"/>
  <c r="G11" i="3"/>
  <c r="I6" i="3"/>
  <c r="I10" i="3"/>
  <c r="F11" i="3"/>
  <c r="G8" i="3"/>
  <c r="D4" i="3"/>
  <c r="D6" i="3"/>
  <c r="F10" i="3"/>
  <c r="C8" i="3"/>
  <c r="I4" i="3"/>
  <c r="F8" i="3"/>
  <c r="G5" i="3"/>
  <c r="G6" i="3"/>
  <c r="E9" i="3"/>
  <c r="C7" i="3"/>
  <c r="D8" i="3"/>
  <c r="B4" i="3"/>
  <c r="H9" i="3"/>
  <c r="B5" i="3"/>
  <c r="C11" i="3"/>
  <c r="B3" i="3"/>
  <c r="H8" i="3"/>
  <c r="C4" i="3"/>
  <c r="E3" i="3"/>
  <c r="F4" i="3"/>
  <c r="H11" i="3"/>
  <c r="E4" i="3"/>
  <c r="F3" i="3"/>
  <c r="D10" i="3"/>
  <c r="C10" i="3"/>
  <c r="E6" i="3"/>
  <c r="C9" i="3"/>
  <c r="D12" i="3" l="1"/>
  <c r="H12" i="3"/>
  <c r="C12" i="3"/>
  <c r="E12" i="3"/>
  <c r="I12" i="3"/>
  <c r="F12" i="3"/>
  <c r="G12" i="3"/>
  <c r="M11" i="3"/>
  <c r="K11" i="3"/>
  <c r="L11" i="3"/>
  <c r="O11" i="3" s="1"/>
  <c r="J11" i="3"/>
  <c r="B12" i="3"/>
  <c r="J9" i="3"/>
  <c r="L4" i="3"/>
  <c r="L7" i="3"/>
  <c r="L6" i="3"/>
  <c r="L5" i="3"/>
  <c r="L8" i="3"/>
  <c r="L3" i="3"/>
  <c r="E2" i="5" s="1"/>
  <c r="L10" i="3"/>
  <c r="L9" i="3"/>
  <c r="M6" i="3"/>
  <c r="J6" i="3"/>
  <c r="J7" i="3"/>
  <c r="K7" i="3"/>
  <c r="J4" i="3"/>
  <c r="K8" i="3"/>
  <c r="J10" i="3"/>
  <c r="N11" i="3" l="1"/>
  <c r="F10" i="5"/>
  <c r="N6" i="3"/>
  <c r="F5" i="5"/>
  <c r="O4" i="3"/>
  <c r="E3" i="5"/>
  <c r="O9" i="3"/>
  <c r="E8" i="5"/>
  <c r="O6" i="3"/>
  <c r="E5" i="5"/>
  <c r="O7" i="3"/>
  <c r="E6" i="5"/>
  <c r="O10" i="3"/>
  <c r="E9" i="5"/>
  <c r="O8" i="3"/>
  <c r="E7" i="5"/>
  <c r="O5" i="3"/>
  <c r="E4" i="5"/>
  <c r="O3" i="3"/>
  <c r="L12" i="3"/>
  <c r="E10" i="5" s="1"/>
  <c r="K3" i="3"/>
  <c r="J3" i="3"/>
  <c r="K6" i="3"/>
  <c r="K4" i="3"/>
  <c r="J8" i="3"/>
  <c r="K10" i="3"/>
  <c r="K9" i="3"/>
  <c r="M9" i="3"/>
  <c r="M10" i="3"/>
  <c r="F9" i="5" s="1"/>
  <c r="M8" i="3"/>
  <c r="F7" i="5" s="1"/>
  <c r="M3" i="3"/>
  <c r="F2" i="5" s="1"/>
  <c r="M4" i="3"/>
  <c r="F3" i="5" s="1"/>
  <c r="G5" i="5" l="1"/>
  <c r="N9" i="3"/>
  <c r="F8" i="5"/>
  <c r="G8" i="5" s="1"/>
  <c r="G2" i="5"/>
  <c r="G3" i="5"/>
  <c r="N4" i="3"/>
  <c r="N3" i="3"/>
  <c r="G7" i="5"/>
  <c r="N8" i="3"/>
  <c r="G9" i="5"/>
  <c r="N10" i="3"/>
  <c r="K5" i="3" l="1"/>
  <c r="J5" i="3"/>
  <c r="M5" i="3"/>
  <c r="F4" i="5" s="1"/>
  <c r="M7" i="3"/>
  <c r="F6" i="5" s="1"/>
  <c r="J12" i="3" l="1"/>
  <c r="K12" i="3"/>
  <c r="N5" i="3"/>
  <c r="M12" i="3"/>
  <c r="G6" i="5"/>
  <c r="N7" i="3"/>
  <c r="O12" i="3"/>
  <c r="N12" i="3" l="1"/>
  <c r="F11" i="5"/>
  <c r="G10" i="5"/>
  <c r="E11" i="5"/>
  <c r="G4" i="5"/>
  <c r="G11" i="5" l="1"/>
</calcChain>
</file>

<file path=xl/sharedStrings.xml><?xml version="1.0" encoding="utf-8"?>
<sst xmlns="http://schemas.openxmlformats.org/spreadsheetml/2006/main" count="979" uniqueCount="411">
  <si>
    <t>Task</t>
  </si>
  <si>
    <t>Python</t>
  </si>
  <si>
    <t>List</t>
  </si>
  <si>
    <t>Complete Road Map To Be Expert In Python- Follow My Way</t>
  </si>
  <si>
    <t>Tutorial 1- Anaconda Installation and Python Basics</t>
  </si>
  <si>
    <t>Why Python is the Best Programming Language For Machine Learning?</t>
  </si>
  <si>
    <t>Tutorial 2 - Python List  and Boolean Variables</t>
  </si>
  <si>
    <t>Tutorial 3- Python Sets, Dictionaries and Tuples</t>
  </si>
  <si>
    <t>Tutorial 4 - Numpy and Inbuilt Functions Tutorial</t>
  </si>
  <si>
    <t>Tutorial 5- Pandas, Data Frame and Data Series Part-1</t>
  </si>
  <si>
    <t>Tutorial 6- Pandas,Reading CSV files With Various Parameters- Part 2</t>
  </si>
  <si>
    <t>Tutorial 7- Pandas-Reading JSON,Reading HTML, Read PICKLE, Read EXCEL Files- Part 3</t>
  </si>
  <si>
    <t>Tutorial 8- Matplotlib (Simple Visualization Library)</t>
  </si>
  <si>
    <t>Tutorial 9- Seaborn Tutorial- Distplot, Joinplot, Pairplot  Part 1</t>
  </si>
  <si>
    <t>Tutorial 10- Seaborn- Countplot(), Violinplot(), Boxplot()- Part2</t>
  </si>
  <si>
    <t>How To Become Expertise in Exploratory Data Analysis</t>
  </si>
  <si>
    <t>Tutorial 11-Exploratory Data Analysis(EDA) of Titanic dataset</t>
  </si>
  <si>
    <t>Tutorial 12- Python Functions, Positional and Keywords Arguments</t>
  </si>
  <si>
    <t>Tutorial 13- Python Lambda Functions</t>
  </si>
  <si>
    <t>Tutorial 15- Map Functions using Python</t>
  </si>
  <si>
    <t>Tutorial 16- Filter Functions In Python</t>
  </si>
  <si>
    <t>Tutorial 17- Python List Comprehension</t>
  </si>
  <si>
    <t>Tutorial 18- Python Advanced String Formatting</t>
  </si>
  <si>
    <t>Tutorial 19-  Python Iterables vs Iterators</t>
  </si>
  <si>
    <t>Tutorial 20- How To Import All Important Python Data Science Libraries Using Pyforest</t>
  </si>
  <si>
    <t>Tutorial 21- Python OOPS Tutorial- Classes, Variables, Methods and Objects</t>
  </si>
  <si>
    <t>Advanced Python- Exception Handling Detailed Explanation In Python</t>
  </si>
  <si>
    <t>Advanced Python Series- Custom Exception Handling In Python</t>
  </si>
  <si>
    <t>Advance Python Series- Inheritance In Python</t>
  </si>
  <si>
    <t>Advance Python Series-Magic Methods In Classes</t>
  </si>
  <si>
    <t>Advanced Python Series- Assert Statement In Python</t>
  </si>
  <si>
    <t>Advanced Python Series - Iterators Vs Generators</t>
  </si>
  <si>
    <t>Advance Python-Decorators Indepth Implementation</t>
  </si>
  <si>
    <t>Python Series- is Vs == Indepth Explanation- Boolean Evaluation</t>
  </si>
  <si>
    <t>60 Python Projects With Source Code- Solved And Explained</t>
  </si>
  <si>
    <t>Shallow Copy Vs Deep Copy in Python</t>
  </si>
  <si>
    <t>How To Speed Up Pandas By 4X Times- Modin Pandas Library</t>
  </si>
  <si>
    <t>Class Variables And Class Methods In Python</t>
  </si>
  <si>
    <t>Python Advance Series- Static Methods Indepth Understanding And Implementation In Python</t>
  </si>
  <si>
    <t>Advance Python Series- Multiple Inheritance In Python</t>
  </si>
  <si>
    <t>Python Eval Function- Evaluating Python Expressions Dynamically</t>
  </si>
  <si>
    <t>Advance House Price Prediction- Exploratory Data Analysis- Part 1</t>
  </si>
  <si>
    <t>Advance House Price Prediction- Exploratory Data Analysis- Part 2</t>
  </si>
  <si>
    <t>Advance House Price Prediction-Feature Engineering Part 1</t>
  </si>
  <si>
    <t>Advance House Price Prediction-Feature Engineering Part 2</t>
  </si>
  <si>
    <t>Advance House Price Prediction-Feature Selection</t>
  </si>
  <si>
    <t>Advance Python Series-Asynchronous Execution(Parallel Execution) With Thread Using Python</t>
  </si>
  <si>
    <t>Vulture Library- How To Find Unused And Dead Code In Python Projects</t>
  </si>
  <si>
    <t>Python Zip Function- Easy Parallel Iteration for Multiple Iterators</t>
  </si>
  <si>
    <t>Pdf Password Protection Using Python</t>
  </si>
  <si>
    <t>PIP Freeze- Creating Packages(Requirements.txt) For The Application</t>
  </si>
  <si>
    <t>Logging Implementation In Python</t>
  </si>
  <si>
    <t>Secure Hash Algorithms Using Python- SHA256,SHA384,SHA224,SHA512,SHA1- Hashing In BlockChain</t>
  </si>
  <si>
    <t>Numba Library- Let's Make Python Faster</t>
  </si>
  <si>
    <t>10 Tips To Learn Python Efficiently And Effectively</t>
  </si>
  <si>
    <t>How to Learn Statistics for Data Science As A Self Starter- Follow My Way</t>
  </si>
  <si>
    <t>Introduction To Statistics And Its Types For Starters</t>
  </si>
  <si>
    <t>Population vs Sample in Statistics</t>
  </si>
  <si>
    <t>Gaussian distribution or Normal Distribution in statisctics</t>
  </si>
  <si>
    <t>Log Normal Distribution in Statistics</t>
  </si>
  <si>
    <t>Covariance in Statistics</t>
  </si>
  <si>
    <t>STATISTICS- Mean, Median And Mode Explained Easily</t>
  </si>
  <si>
    <t>STATISTICS-  Population VS Sample and it's Importance</t>
  </si>
  <si>
    <t>STATISTICS- What are Random Variables and It's Types and its Importance?</t>
  </si>
  <si>
    <t>STATISTICS- Gaussian/ Normal Distribution</t>
  </si>
  <si>
    <t>STATISTICS- What is Central Limit Theorem?</t>
  </si>
  <si>
    <t>STATISTICS- Chebyshev's InEquality</t>
  </si>
  <si>
    <t>Statistics- What is Pearson Correlation Coefficient? Difference between Correlation and Covariance</t>
  </si>
  <si>
    <t>Spearman's rank correlation coefficient- Statistics</t>
  </si>
  <si>
    <t>Statistics-Finding Outliers in Dataset using Z- score and IQR</t>
  </si>
  <si>
    <t>Standardization Vs Normalization- Feature Scaling</t>
  </si>
  <si>
    <t>What Is P Value In Statistics In Simple Language?</t>
  </si>
  <si>
    <t>Statistics-Left Skewed And Right Skewed Distribution And Relation With Mean, Median And Mode</t>
  </si>
  <si>
    <t>Stats Interview Series #1- Asked In Interview</t>
  </si>
  <si>
    <t>Stats Interview Series #2-Asked In Interview</t>
  </si>
  <si>
    <t>Confidence Intervals In Statistics- Part 1</t>
  </si>
  <si>
    <t>Bernoulli distribution- Mean, Variance And Standard Deviation OF Bernoulli distribution</t>
  </si>
  <si>
    <t>5 Number Summary And How To handle Outliers Using IQR-Statistics</t>
  </si>
  <si>
    <t>Different Type Of Sampling Techniques With Examples| Statistics Interview Question</t>
  </si>
  <si>
    <t>Whether We Should Reduce False Positive Or Negative In Confusion Matrix-Machine Learning Interviews</t>
  </si>
  <si>
    <t>Z Score And Its Applications- Important Stats Interview Question</t>
  </si>
  <si>
    <t>Power Law Distribution And Its Examples And Application- Statistics Interview Question</t>
  </si>
  <si>
    <t>Link</t>
  </si>
  <si>
    <t>Title</t>
  </si>
  <si>
    <t>Stats</t>
  </si>
  <si>
    <t>ML</t>
  </si>
  <si>
    <t>DL</t>
  </si>
  <si>
    <t>NLP</t>
  </si>
  <si>
    <t>Complete Roadmap To Follow To  Prepare Machine Learning With All Videos And Materials</t>
  </si>
  <si>
    <t>Advance Python Series- Public Private And Protected Access Modifiers</t>
  </si>
  <si>
    <t>Tutorial 22-Univariate, Bivariate and Multivariate Analysis- Part1 (EDA)-Data Science</t>
  </si>
  <si>
    <t>Tutorial 23-Univariate, Bivariate and Multivariate Analysis- Part2 (EDA)-Data Science</t>
  </si>
  <si>
    <t>Tutorial 24- Histogram in EDA- Data Science</t>
  </si>
  <si>
    <t>Tutorial 24-Z Score Statistics Data Science</t>
  </si>
  <si>
    <t>Tutorial 25- Probability Density function and CDF- EDA-Data Science</t>
  </si>
  <si>
    <t>Tutorial 26- Linear Regression Indepth Maths Intuition- Data Science</t>
  </si>
  <si>
    <t>Tutorial 27- Ridge and Lasso Regression Indepth Intuition- Data Science</t>
  </si>
  <si>
    <t>Tutorial 28- Ridge and Lasso Regression using Python and Sklearn</t>
  </si>
  <si>
    <t>Multiple Linear Regression using python and sklearn</t>
  </si>
  <si>
    <t>Tutorial 28-MultiCollinearity In Linear Regression- Part 2</t>
  </si>
  <si>
    <t>Machine Learning-Bias And Variance In Depth Intuition| Overfitting Underfitting</t>
  </si>
  <si>
    <t>Tutorial 29-R square and Adjusted R square Clearly Explained| Machine Learning</t>
  </si>
  <si>
    <t>Tutorial 31- Hypothesis Test, Type 1 Error, Type 2 Error</t>
  </si>
  <si>
    <t>Tutorial 32- All About P Value,T test,Chi Square Test, Anova Test  and When  to Use What?</t>
  </si>
  <si>
    <t>Tutorial 33- P Value,T test, Correlation Implementation with Python- Hypothesis Testing</t>
  </si>
  <si>
    <t>Tutorial 33- Chi Square Test Implementation with Python- Hypothesis Testing- Part 2</t>
  </si>
  <si>
    <t>Tutorial 34- Performance Metrics For Classification Problem In Machine Learning- Part1</t>
  </si>
  <si>
    <t>Tutorial 35- Logistic Regression Indepth Intuition- Part 1| Data Science</t>
  </si>
  <si>
    <t>Tutorial 36- Logistic Regression Indepth Intuition- Part 2| Data Science</t>
  </si>
  <si>
    <t>Tutorial 36- Logistic Regression Mutliclass Classification(OneVsRest)- Part 3| Data Science</t>
  </si>
  <si>
    <t>Tutorial 37: Entropy In Decision Tree Intuition</t>
  </si>
  <si>
    <t>Tutorial 38- Decision Tree Information Gain</t>
  </si>
  <si>
    <t>Tutorial 39- Gini Impurity Intuition In Depth In Decision Tree</t>
  </si>
  <si>
    <t>Tutorial 40- Decision Tree Split For Numerical Feature</t>
  </si>
  <si>
    <t>Tutorial 41-Performance Metrics(ROC,AUC Curve) For Classification Problem In Machine Learning Part 2</t>
  </si>
  <si>
    <t>Performance Metrics On MultiClass Classification Problems</t>
  </si>
  <si>
    <t>K Nearest Neighbor classification with Intuition and practical solution</t>
  </si>
  <si>
    <t>K Nearest Neighbour Easily Explained with Implementation</t>
  </si>
  <si>
    <t>Tutorial 42 - Ensemble: What is Bagging (Bootstrap Aggregation)?</t>
  </si>
  <si>
    <t>Tutorial 43-Random Forest Classifier and Regressor</t>
  </si>
  <si>
    <t>Tutorial 45-Handling imbalanced Dataset  using python- Part 1</t>
  </si>
  <si>
    <t>Tutorial 46-Handling imbalanced Dataset using python- Part 2</t>
  </si>
  <si>
    <t>Hyperparameter Optimization for Xgboost</t>
  </si>
  <si>
    <t>What is AdaBoost (BOOSTING TECHNIQUES)</t>
  </si>
  <si>
    <t>Visibility Climate Prediction- You Can Add This In Your Resume</t>
  </si>
  <si>
    <t>Euclidean Distance and Manhattan Distance</t>
  </si>
  <si>
    <t>K Means Clustering Intuition</t>
  </si>
  <si>
    <t>Hierarchical Clustering intuition</t>
  </si>
  <si>
    <t>DBSCAN Clustering Easily Explained with Implementation</t>
  </si>
  <si>
    <t>Silhouette (clustering)- Validating Clustering Models- Unsupervised Machine Learning</t>
  </si>
  <si>
    <t>Curse of Dimensionality Easily explained| Machine Learning</t>
  </si>
  <si>
    <t>Dimensional Reduction| Principal Component Analysis</t>
  </si>
  <si>
    <t>Principle Component Analysis (PCA) using sklearn and python</t>
  </si>
  <si>
    <t>What is Cross Validation and its types?</t>
  </si>
  <si>
    <t>Tutorial 42-How To Find Optimal Threshold For Binary Classification - Data Science</t>
  </si>
  <si>
    <t>Tutorial 47- Bayes' Theorem| Conditional Probability- Machine Learning</t>
  </si>
  <si>
    <t>Tutorial 48- Naive Bayes' Classifier Indepth Intuition-  Machine Learning</t>
  </si>
  <si>
    <t>Tutorial 49- How To Apply Naive Bayes' Classifier On Text Data (NLP)- Machine Learning</t>
  </si>
  <si>
    <t>Support Vector Machine (SVM) Basic Intuition- Part 1| Machine Learning</t>
  </si>
  <si>
    <t>Maths Intuition Behind Support Vector Machine Part 2 | Machine Learning Data Science</t>
  </si>
  <si>
    <t>SVM Kernels In-depth Intuition- Polynomial Kernels Part 3 | Machine Learning Data Science</t>
  </si>
  <si>
    <t>Gradient Boosting In Depth Intuition- Part 1 Machine Learning</t>
  </si>
  <si>
    <t>Gradient Boosting Complete Maths Indepth Intuiton Explained| Machine Learning- Part2</t>
  </si>
  <si>
    <t>Xgboost Classification Indepth Maths Intuition- Machine Learning Algorithms🔥🔥🔥🔥</t>
  </si>
  <si>
    <t>Xgboost Regression In-Depth Intuition Explained- Machine Learning Algorithms 🔥🔥🔥🔥</t>
  </si>
  <si>
    <t>Data Science In Medical-Live Tracking Of CO--VID Cases In India using Python</t>
  </si>
  <si>
    <t>Perform EDA In Seconds With Visualization Using SweetViz Library</t>
  </si>
  <si>
    <t>4 End To End Projects Till Deployment For Beginners In Data Science| All You Have To Do Is Learn</t>
  </si>
  <si>
    <t>Deploy Machine Learning Models Using StreamLit Library- Data Science</t>
  </si>
  <si>
    <t>Perform Exploratory Data Analysis In Minutes- Data Science| Machine Learning</t>
  </si>
  <si>
    <t>Pandas Visual Analysis- Perform Exploratory Data Analysis In A Single Line Of Code🔥🔥🔥🔥</t>
  </si>
  <si>
    <t>How To Read And Process Huge Datasets in Seconds Using Vaex Library| Data Science| Machine Learning</t>
  </si>
  <si>
    <t>D-Tale The Best Library To Perform Exploratory Data Analysis Using Single Line Of Code🔥🔥🔥🔥</t>
  </si>
  <si>
    <t>Time Series Forecasting Using Facebook FbProphet</t>
  </si>
  <si>
    <t>Performance Metrics Interview Questions- Data Science</t>
  </si>
  <si>
    <t>How To Perform Post Pruning In Decision Tree? Prevent Overfitting- Data Science</t>
  </si>
  <si>
    <t>How To Train Machine Learning Model Using  CPU Multi Cores</t>
  </si>
  <si>
    <t>Step By Step Process To Learn Machine Learning Algorithm Efficiently</t>
  </si>
  <si>
    <t>Data Science Is Just Not About Model Building</t>
  </si>
  <si>
    <t>How To Interpret The ML  Model? Is Your Model Black Box? Lime Library</t>
  </si>
  <si>
    <t>6 Healthcare End To End Machine Learning Projects- Credits Devansh and Bedanta</t>
  </si>
  <si>
    <t>Overfitting, Underfitting And Data Leakage Explanation With Simple Example</t>
  </si>
  <si>
    <t>What Is API? Application Programming Interface And Why It Is Important-Data Science</t>
  </si>
  <si>
    <t>500+ Machine Learning And Deep Learning Projects All At One Place</t>
  </si>
  <si>
    <t>Google Colab Pro Vs Colab Free- Benefits Of Using Colab Pro- How To Access From India</t>
  </si>
  <si>
    <t>TextBlob Library In Python For Natural Language Processing</t>
  </si>
  <si>
    <t>3000+ Research Datasets For Machine Learning Researchers By Papers With Code</t>
  </si>
  <si>
    <t>Introduction To MLflow-An Open Source Platform for the Machine Learning Lifecycle</t>
  </si>
  <si>
    <t>Amazing Data Science End To End Project From Starters In ML and Deep Learning- Agriculture Domain</t>
  </si>
  <si>
    <t>SVM Kernal- Polynomial And RBF Implementation Using Sklearn- Machine Learning</t>
  </si>
  <si>
    <t>Lux - Python Library for Intelligent Visual Discovery</t>
  </si>
  <si>
    <t>Texthero-Text Preprocessing, Representation And Visualization From Zero to Hero.</t>
  </si>
  <si>
    <t>Colab Pro Now Available In India, Brazil, France, Thailand,Japan,UK- BOON FOR Data Science Aspirants</t>
  </si>
  <si>
    <t>Rainfall Prediction- Converting A Kaggle Project to End To End Machine Learning Project</t>
  </si>
  <si>
    <t>PyWebIO- Creating WebAPP Using Python Without Using HTML And JS</t>
  </si>
  <si>
    <t>Creating BMI Calculator Web APP Using Python And PyWebIO</t>
  </si>
  <si>
    <t>Deployment Of ML Models Using PyWebIO And Flask</t>
  </si>
  <si>
    <t>Shapash- Python Library To Make Machine Learning Interpretable</t>
  </si>
  <si>
    <t>Difference Between fit(), transform(), fit_transform() and predict() methods in Scikit-Learn</t>
  </si>
  <si>
    <t>EvalML AutoML Library To Automate Feature Engineering, Feature Selection,Model Creation And Tuning</t>
  </si>
  <si>
    <t>Lazy Predict Python- Understanding Which Models Works Well Without Any Tuning</t>
  </si>
  <si>
    <t>How To Automate NLP Tasks Using EvalML Library</t>
  </si>
  <si>
    <t>Gradio Library-Interfaces for your Machine Learning Models</t>
  </si>
  <si>
    <t>Comparing Transfer Learning Models Using Gradio</t>
  </si>
  <si>
    <t>Introduction To Machine Learning And Deep Learning For Starters</t>
  </si>
  <si>
    <t>Deployment Of ML Models Using PyWebIO And Flask In Heroku</t>
  </si>
  <si>
    <t>All Automated EDA Libraries All At One Place</t>
  </si>
  <si>
    <t>Discussing All The Types Of Feature Transformation In Machine Learning</t>
  </si>
  <si>
    <t>Automating Web Scrapping Using AutoScraper Library</t>
  </si>
  <si>
    <t>Automating WebScraping Amazon Ecommerce Website Using AutoScrapper</t>
  </si>
  <si>
    <t>AutoScraper and Flask: Create an API From Amazon Website in Less Than 10 Minutes</t>
  </si>
  <si>
    <t>Autoviz-Automatically Visualize Any Dataset With Single Line Of Code</t>
  </si>
  <si>
    <t>AutoScraper- Scrap Images From Amazon Ecommerce- End To End Web Scraping Application</t>
  </si>
  <si>
    <t>All Type Of Cross Validation With Python All In 1 Video</t>
  </si>
  <si>
    <t>DataPrep Library- Perform Faster EDA Within No Time</t>
  </si>
  <si>
    <t>Why Deep Learning Is Becoming So Popular?🔥🔥🔥🔥🔥🔥</t>
  </si>
  <si>
    <t>Complete Road Map To Prepare For Deep Learning🔥🔥🔥🔥</t>
  </si>
  <si>
    <t>Tutorial 1- Introduction to Neural Network and Deep Learning</t>
  </si>
  <si>
    <t>Tutorial 2- How does Neural Network Work</t>
  </si>
  <si>
    <t>Tutorial 3-Activation Functions Part-1</t>
  </si>
  <si>
    <t>Tutorial 4: How to train Neural Network with BackPropogation</t>
  </si>
  <si>
    <t>Tutorial 5- How to train MultiLayer Neural Network and Gradient Descent</t>
  </si>
  <si>
    <t>Tutorial 6-Chain Rule of Differentiation with BackPropagation</t>
  </si>
  <si>
    <t>Tutorial 7- Vanishing Gradient Problem</t>
  </si>
  <si>
    <t>Tutorial 8- Exploding Gradient Problem in Neural Network</t>
  </si>
  <si>
    <t>Tutorial 9- Drop Out Layers in Multi Neural Network</t>
  </si>
  <si>
    <t>Tutorial 10- Activation Functions Rectified Linear Unit(relu) and Leaky Relu Part 2</t>
  </si>
  <si>
    <t>Deep Learning-Activation Functions-Elu, PRelu,Softmax,Swish And Softplus</t>
  </si>
  <si>
    <t>Tutorial 11- Various Weight Initialization Techniques in Neural Network</t>
  </si>
  <si>
    <t>Tutorial 12- Stochastic Gradient Descent vs Gradient Descent</t>
  </si>
  <si>
    <t>Tutorial 13- Global Minima and Local Minima in Depth Understanding</t>
  </si>
  <si>
    <t>Tutorial 14- Stochastic Gradient Descent with Momentum</t>
  </si>
  <si>
    <t>Tutorial 15- Adagrad Optimizers in Neural Network</t>
  </si>
  <si>
    <t>Tutorial 16- AdaDelta and RMSprop optimizer</t>
  </si>
  <si>
    <t>Deep Learning-All Optimizers In One Video-SGD with Momentum,Adagrad,Adadelta,RMSprop,Adam Optimizers</t>
  </si>
  <si>
    <t>Session On Different Types Of Loss Function In Deep Learning</t>
  </si>
  <si>
    <t>Tutorial 17- Create Artificial Neural Network using Weight Initialization Tricks</t>
  </si>
  <si>
    <t>Keras Tuner Hyperparameter Tuning-How To Select Hidden Layers And Number of Hidden Neurons In ANN</t>
  </si>
  <si>
    <t>Tutorial 18- Hyper parameter Tuning To Decide Number of Hidden Layers in Neural Network</t>
  </si>
  <si>
    <t>Tutorial 19- Training Artificial Neural Network using Google Colab GPU</t>
  </si>
  <si>
    <t>Tutorial 20- Convolution Neural Network vs Human Brain</t>
  </si>
  <si>
    <t>Tutorial 21- What is Convolution operation in CNN?</t>
  </si>
  <si>
    <t>Tutorial 22- Padding in Convolutional Neural Network</t>
  </si>
  <si>
    <t>Tutorial 23- Operation Of CNN(CNN vs ANN)</t>
  </si>
  <si>
    <t>Tutorial 24- Max Pooling Layer In CNN</t>
  </si>
  <si>
    <t>Tutorial 25- Data Augmentation In CNN-Deep Learning</t>
  </si>
  <si>
    <t>Tutorial 26- Create Image Dataset using Data Augmentation using Keras-Deep Learning-Data Science</t>
  </si>
  <si>
    <t>Tutorial 27- Create CNN Model and Optimize using Keras Tuner- Deep Learning</t>
  </si>
  <si>
    <t>Tutorial 28- Create CNN Model Using Transfer Learning using Vgg 16, Resnet</t>
  </si>
  <si>
    <t>Tutorial 29- Why Use Recurrent Neural Network and Its Application</t>
  </si>
  <si>
    <t>Tutorial 30- Recurrent Neural Network Forward Propogation With Time</t>
  </si>
  <si>
    <t>Tutorial 31- Back Propagation In Recurrent Neural Network</t>
  </si>
  <si>
    <t>Tutorial 32- Problems In Simple Recurrent Neural Network</t>
  </si>
  <si>
    <t>Tutorial 33-  Installing Cuda Toolkit And cuDNN For Deep Learning</t>
  </si>
  <si>
    <t>Tutorial 34- LSTM Recurrent Neural Network In Depth Intuition</t>
  </si>
  <si>
    <t>Word Embedding - Natural  Language Processing| Deep Learning</t>
  </si>
  <si>
    <t>Implementing Word Embedding Using Keras- NLP | Deep Learning</t>
  </si>
  <si>
    <t>Develop your Neural Network Like A Google Deep Learning Developer</t>
  </si>
  <si>
    <t>Kaggle Faker News Classifier Using LSTM- Deep LEarning| Natural Language Processing</t>
  </si>
  <si>
    <t>Stock Price Prediction And Forecasting Using Stacked LSTM- Deep Learning</t>
  </si>
  <si>
    <t>Bidirectional RNN Indepth Intuition- Deep Learning Tutorial</t>
  </si>
  <si>
    <t>Implement Kaggle Fake News Classifier Using Bidirectional LSTM RNN</t>
  </si>
  <si>
    <t>Sequence To Sequence Learning With Neural Networks| Encoder And Decoder In-depth Intuition</t>
  </si>
  <si>
    <t>Develop Your First Deep Learning End To End Project As A Beginner In Data Science in 30 minutes</t>
  </si>
  <si>
    <t>Encoder And Decoder- Neural Machine Learning Language Translation Tutorial With Keras- Deep Learning</t>
  </si>
  <si>
    <t>Problems With Encoders And Decoders- Indepth Intuition</t>
  </si>
  <si>
    <t>Live Session- Understanding Attention Models Architecture And Maths Intuition- Deep Learning</t>
  </si>
  <si>
    <t>Live Session- Encoder Decoder,Attention Models, Transformers, Bert Part 1</t>
  </si>
  <si>
    <t>Live- Attention Models, Transformers  In depth Intuition Deep Learning- Part 2</t>
  </si>
  <si>
    <t>Live -Transformers Indepth Architecture Understanding- Attention Is All You Need</t>
  </si>
  <si>
    <t>How To Train Deep Learning Models In Google Colab- Must For Everyone</t>
  </si>
  <si>
    <t>Alexnet Architecture In-depth-Discussion Along With Code-Deep Learning Advanced CNN</t>
  </si>
  <si>
    <t>VGGNET Architecture In-depth Discussion Along With Code -Deep Learning Advanced CNN</t>
  </si>
  <si>
    <t>Hummingbird-Run Traditional Machine Learning model on Deep Neural Network frameworks-Data Science</t>
  </si>
  <si>
    <t>Lets Implement LSTM RNN Models For Univariate Time Series Forecasting- Deep Learning</t>
  </si>
  <si>
    <t>TensorDash- How To Monitor Your Deep Learning Model Metrics, Loss, Accuracy Using Mobile App</t>
  </si>
  <si>
    <t>Handling Imbalanced Dataset Using Cost Sensitive Neural Networks- Credit Card Fraud Detection</t>
  </si>
  <si>
    <t>How To Implement Image Classification Using SVM In Convolution Neural Network</t>
  </si>
  <si>
    <t>Object Localization Vs Object Detection Deep Learning</t>
  </si>
  <si>
    <t>PerceptiLabs-The Best Machine Learning Visual Modeling Tool-Train Deep Learning Neural Network</t>
  </si>
  <si>
    <t>Face Recognition Attendance Based Project In Machine Learning</t>
  </si>
  <si>
    <t>Part 1-EDA-Audio Classification Project Using Deep Learning</t>
  </si>
  <si>
    <t>Part 2-Data Preprocessing-Audio Classification Project Using Deep Learning</t>
  </si>
  <si>
    <t>Part 3-Model Creation-Audio Classification Project Using Deep Learning</t>
  </si>
  <si>
    <t>Part 4-Testing ANN Model-Audio Classification Project Using Deep Learning</t>
  </si>
  <si>
    <t>TFOD 2.0 Custom Object Detection Step By Step Tutorial</t>
  </si>
  <si>
    <t>Text Generation with Transformers (GPT-2) In 10 Lines Of Code</t>
  </si>
  <si>
    <t>Complete Road Map To Prepare NLP-Follow This Video-You Will Able to Crack Any DS Interviews🔥🔥</t>
  </si>
  <si>
    <t>Natural Language Processing|Tokenization</t>
  </si>
  <si>
    <t>Natural Language Processing| Stemming And Lemmatization Intuition</t>
  </si>
  <si>
    <t>Natural Language Processing|Stemming</t>
  </si>
  <si>
    <t>Natural Language Processing|Lemmatization</t>
  </si>
  <si>
    <t>Natural Language Processing|Bag Of Words Intuition</t>
  </si>
  <si>
    <t>Natural Language Processing|BagofWords</t>
  </si>
  <si>
    <t>Natural Language Processing|TF-IDF Intuition| Text Prerocessing</t>
  </si>
  <si>
    <t>Natural Language Processing|TF-IDF for Machine Learning| Text Prerocessing</t>
  </si>
  <si>
    <t>Implementing a Spam classifier in python| Natural Language Processing</t>
  </si>
  <si>
    <t>Word2Vec Easily Explained- Data Science</t>
  </si>
  <si>
    <t>Kaggle Competition- Predict Stock Price Movement Based On News Headline using NLP</t>
  </si>
  <si>
    <t>FAKE NEWS CLASSIFIER WITH MACHINE LEARNING ALGORITHMS USING Natural Language Processing- PART 1</t>
  </si>
  <si>
    <t>FAKE NEWS CLASSIFIER WITH MACHINE LEARNING ALGORITHMS USING Natural Language Processing- PART 2</t>
  </si>
  <si>
    <t>Devops Vs MLOPS- Understand The Differences And Why IT is Important</t>
  </si>
  <si>
    <t>MLOps Live Community Session Announcement</t>
  </si>
  <si>
    <t>Day 1- MLOPS End To End Implementation- Machine Learning</t>
  </si>
  <si>
    <t>Day 2- MLOPS End To End Implementation From Basics- Machine Learning</t>
  </si>
  <si>
    <t>Day 3- MLOPS End To End Implementation With Deployment- Machine Learning</t>
  </si>
  <si>
    <t>Day 4- MLOPS Continuous Integration And Model Tracking Using MLFlow- Machine Learning</t>
  </si>
  <si>
    <t>Time</t>
  </si>
  <si>
    <t>Total</t>
  </si>
  <si>
    <t>Interview Prep Day3-How To Prepare Support Vector Machines Important Questions In Interviews🔥🔥</t>
  </si>
  <si>
    <t>Google Datasets Search Engine- Search All Datasets From One Place For Data Science,Machine Learning</t>
  </si>
  <si>
    <t>How To Run Flask In Google Colab</t>
  </si>
  <si>
    <t>In Progress</t>
  </si>
  <si>
    <t>Completed</t>
  </si>
  <si>
    <t>Current Status</t>
  </si>
  <si>
    <t>Tasks</t>
  </si>
  <si>
    <t>https://www.youtube.com/playlist?list=PLZoTAELRMXVMhVyr3Ri9IQ-t5QPBtxzJO</t>
  </si>
  <si>
    <t>Count</t>
  </si>
  <si>
    <t>https://www.youtube.com/playlist?list=PLZoTAELRMXVNUL99R4bDlVYsncUNvwUBB</t>
  </si>
  <si>
    <t>https://www.youtube.com/playlist?list=PLZoTAELRMXVPBTrWtJkn3wWQxZkmTXGwe</t>
  </si>
  <si>
    <t>https://www.youtube.com/playlist?list=PLZoTAELRMXVPGU70ZGsckrMdr0FteeRUi</t>
  </si>
  <si>
    <t>https://www.youtube.com/playlist?list=PLZoTAELRMXVMdJ5sqbCK2LiM0HhQVWNzm</t>
  </si>
  <si>
    <t>https://www.youtube.com/playlist?list=PLZoTAELRMXVOk1pRcOCaG5xtXxgMalpIe</t>
  </si>
  <si>
    <t>MLOPS</t>
  </si>
  <si>
    <t>Hours</t>
  </si>
  <si>
    <t>Stats Interview Series #3-Asked In Interview #shorts⭐ ⭐⭐⭐⭐⭐</t>
  </si>
  <si>
    <t>Yet to Start</t>
  </si>
  <si>
    <t>DML</t>
  </si>
  <si>
    <t>https://www.youtube.com/playlist?list=PLZoTAELRMXVOAvUbePX1lTdxQR8EY35Z1</t>
  </si>
  <si>
    <t>Tutorial 1- Deployment of Models- Premises VS IAAS vs PAAS cloud Platforms</t>
  </si>
  <si>
    <t>Tutorial 2- Deployment of ML models in Heroku using FLASK</t>
  </si>
  <si>
    <t>Tutorial 3- Deployment of NLP Model in Heroku Cloud</t>
  </si>
  <si>
    <t>Tutorial 4- Deployment Of ML Models In AWS EC2 Instance</t>
  </si>
  <si>
    <t>Tutorial 5- Deployment Of Movie Recommendation Model By My Subscriber In Heroku</t>
  </si>
  <si>
    <t>Tutorial 6 :Deployment of Machine Learning Models in Google Cloud Platform</t>
  </si>
  <si>
    <t>Tutorial 7: Deploying Machine Learning Models In Azure Cloud</t>
  </si>
  <si>
    <t>Deploy Streamlit WebApp ML Models In Heroku(PAAS)- Data Science</t>
  </si>
  <si>
    <t>Introduction To FastAPI- How To Create API's Using FastAPI- Data Science</t>
  </si>
  <si>
    <t>How To Deploy FastAPI Machine Learning Models In Heroku</t>
  </si>
  <si>
    <t>How To Deploy Machine Learning Models Using FastAPI-Deployment Of ML Models As API's</t>
  </si>
  <si>
    <t>Remaining</t>
  </si>
  <si>
    <t>Per%</t>
  </si>
  <si>
    <t>FE</t>
  </si>
  <si>
    <t>https://www.youtube.com/playlist?list=PLZoTAELRMXVPwYGE2PXD3x0bfKnR0cJjN</t>
  </si>
  <si>
    <t>Feature Engineering-How to Perform One Hot Encoding for Multi Categorical Variables</t>
  </si>
  <si>
    <t>Different Types of Feature Engineering Encoding Techniques</t>
  </si>
  <si>
    <t>Why Do We Need to Perform Feature Scaling?</t>
  </si>
  <si>
    <t>How To Handle Missing Values in Categorical Features</t>
  </si>
  <si>
    <t>Featuring Engineering- Handle Categorical Features Many Categories(Count/Frequency Encoding)</t>
  </si>
  <si>
    <t>Featuring Engineering- How To Handle Ordinal Categories(Ordinal Encoding)</t>
  </si>
  <si>
    <t>Live-Feature Engineering-All Techniques To Handle Missing Values- Day 1</t>
  </si>
  <si>
    <t>Live-Feature Engineering-All Techniques To Handle Missing Values- Day 2</t>
  </si>
  <si>
    <t>Live-Feature Engineering-All Techniques To Handle Missing Values- Day 3</t>
  </si>
  <si>
    <t>Live-Feature Engineering-All Techniques To Handle Categorical Features - Day 4</t>
  </si>
  <si>
    <t>Summary Live Streaming-Feature Engineering- Probability Ratio Encoding- Handling Categorical Feature</t>
  </si>
  <si>
    <t>Live-Feature Engineering-All Standardization And Transformation Techniques- Day 6</t>
  </si>
  <si>
    <t>Live Discussion On Handling Imbalanced Dataset- Machine Learning</t>
  </si>
  <si>
    <t>Live Discussion On Outlier And Its Impacts On Machine Learning UseCases</t>
  </si>
  <si>
    <t>On Hold</t>
  </si>
  <si>
    <t>DSIQ</t>
  </si>
  <si>
    <t>https://www.youtube.com/playlist?list=PLZoTAELRMXVPkl7oRvzyNnyj1HS4wt2K-</t>
  </si>
  <si>
    <t>How to Prepare For Deep Learning Interviews- Important Interview Questions in ANN-Part 1🔥🔥🔥🔥</t>
  </si>
  <si>
    <t>Interview Prep Day 1-How To Learn Machine Learning Algorithms For Interviews- Naive Bayes Classifier</t>
  </si>
  <si>
    <t>Interview Prep Day 4-How To Learn Machine Learning Algorithms For Interviews- Decision Trees🔥🔥</t>
  </si>
  <si>
    <t>Final Year Student To Deep Learning Engineer Internship- Transition Story- Must For Freshers</t>
  </si>
  <si>
    <t>Focus On Story Telling-How To Ace Data Science Interviews?</t>
  </si>
  <si>
    <t>Data Science Interview Questions- Multicollinearity In Linear And Logistic Regression</t>
  </si>
  <si>
    <t>The Role of Maths in Data Science and How to Learn?</t>
  </si>
  <si>
    <t>Cosine Similarity and Cosine Distance</t>
  </si>
  <si>
    <t>Data Engineer vs Data Analyst vs Data Scientist</t>
  </si>
  <si>
    <t>How to Read Dataset in Google Colab from Google Drive</t>
  </si>
  <si>
    <t>Diabetes Prediction using Machine Learning from Kaggle</t>
  </si>
  <si>
    <t>How to choose number of hidden layers and nodes in Neural Network</t>
  </si>
  <si>
    <t>Why, How and When to Scale Features in Machine Learning?</t>
  </si>
  <si>
    <t>DNA Sequencing Classifier using Machine Learning</t>
  </si>
  <si>
    <t>Tutorial 45-Handling imbalanced Dataset using python- Part 1</t>
  </si>
  <si>
    <t>Voting Classifier(Hard Voting and Soft Voting Classifier)</t>
  </si>
  <si>
    <t>Random Forest(Bootstrap Aggregation) Easily Explained</t>
  </si>
  <si>
    <t>Predicting Heart Disease using Machine Learning</t>
  </si>
  <si>
    <t>How to Visualize Multiple Linear Regression in python</t>
  </si>
  <si>
    <t>Deployment of Deep Learning Model using Flask</t>
  </si>
  <si>
    <t>Deploy Machine Learning Model using Flask</t>
  </si>
  <si>
    <t>Handling Missing Data Easily Explained| Machine Learning</t>
  </si>
  <si>
    <t>Cross Validation using sklearn and python | Machine Learning</t>
  </si>
  <si>
    <t>Feature Selection Techniques Easily Explained | Machine Learning</t>
  </si>
  <si>
    <t>Handle Categorical features using Python</t>
  </si>
  <si>
    <t>Linear Regression Mathematical Intuition</t>
  </si>
  <si>
    <t>How to switch your career to Data Science.</t>
  </si>
  <si>
    <t>Deep Learning in Medical Science</t>
  </si>
  <si>
    <t>Complete Life Cycle of a Data Science Project</t>
  </si>
  <si>
    <t>RandomizedSearchCV- Select the best hyperparameter for any Classification Model</t>
  </si>
  <si>
    <t>GridSearchCV- Select the best hyperparameter for any Classification Model</t>
  </si>
  <si>
    <t>Precision, Recall and F1-Score</t>
  </si>
  <si>
    <t>TPR,FPR,FNR,TNR, Confusion Matrix</t>
  </si>
  <si>
    <t>Tutorial 44-Balanced vs Imbalanced Dataset and how to handle Imbalanced Dataset</t>
  </si>
  <si>
    <t>Confusion matrix, Precision, Recall| Data Science Interview questions</t>
  </si>
  <si>
    <t>How to select the best model using cross validation in python</t>
  </si>
  <si>
    <t>Computer Vision using Microsoft Cognitive Services for Images</t>
  </si>
  <si>
    <t>Creating a Dataset and training an Artificial Neural Network with Keras</t>
  </si>
  <si>
    <t>Artificial Neural Network Intuition</t>
  </si>
  <si>
    <t>Important Interview Questions On Convolution Neural Network- Deep Learning</t>
  </si>
  <si>
    <t>Live Virtual Interview of Uday From Mechanical Engineer To Data Science By Krish And Sudhanshu</t>
  </si>
  <si>
    <t>Live- Conversation With Amit Bose-Transition From Commerce Background To Data Analyst</t>
  </si>
  <si>
    <t>Live Virtual Mock Interview For Data Science By Krish And Sudhanshu</t>
  </si>
  <si>
    <t>Live- Virtual Interview For Data Scientist By Krish And Sudhanshu</t>
  </si>
  <si>
    <t>Live- How To Create Deep Learning Model Using Tensorflow JS</t>
  </si>
  <si>
    <t>Live- Virtual Interview Session For Data Science- Session 8</t>
  </si>
  <si>
    <t>Live Virtual Interview Of Experienced For Data Scientist</t>
  </si>
  <si>
    <t>Live- Conversation With Data Structure And Algorithms Mentor For Free Community Session</t>
  </si>
  <si>
    <t>Live-How To Prepare Resume For Data Scientist As A Fresher</t>
  </si>
  <si>
    <t>Live -Virtual Interview Of Fresher For Data Science - Session 6</t>
  </si>
  <si>
    <t>Live Virtual Interview For Data Science Fresher By Krish And Sudhanshu</t>
  </si>
  <si>
    <t>Live Q&amp;A Tips For Interview Preparation Of Data Science</t>
  </si>
  <si>
    <t>Live Virtual Mock Interview Of Statistician IIT Kanpur For Data Science</t>
  </si>
  <si>
    <t>Live Virtual Mock Interview- Successful Transition From Diploma Engineer To Data Science Intern</t>
  </si>
  <si>
    <t>Follow These Playlist Before Interviews- Guide to Crack Data Science Interviews</t>
  </si>
  <si>
    <t>Interview Question -Risks In Data Science Projects</t>
  </si>
  <si>
    <t>Interview Prep Day 2- Linear Regression Interview Question-The Most Important Algorithm In ML &amp; DS🔥🔥</t>
  </si>
  <si>
    <t>Interview Prep Day 6-How To Learn Machine Learning Algorithms For Interviews-Random Forest Algo🔥🔥🔥🔥</t>
  </si>
  <si>
    <t>Interview Prep Day 5-How To Learn Machine Learning Algorithms For Interviews- Logistic Regression🔥🔥🔥</t>
  </si>
  <si>
    <t>Time (H)</t>
  </si>
  <si>
    <t>Status</t>
  </si>
  <si>
    <t>Code</t>
  </si>
  <si>
    <t>ID</t>
  </si>
  <si>
    <t>Statistics</t>
  </si>
  <si>
    <t>Machine Learning</t>
  </si>
  <si>
    <t>Feature Engg.</t>
  </si>
  <si>
    <t>Deep Learning</t>
  </si>
  <si>
    <t>Data Modelling</t>
  </si>
  <si>
    <t>ML OPS</t>
  </si>
  <si>
    <t>Data Sci Interview 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</si>
</sst>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 val="double"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1" fillId="2" borderId="2" xfId="0" applyFont="1" applyFill="1" applyBorder="1"/>
    <xf numFmtId="0" fontId="3" fillId="2" borderId="1" xfId="1" applyFont="1" applyFill="1" applyBorder="1"/>
    <xf numFmtId="0" fontId="4" fillId="2" borderId="1" xfId="1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6" fillId="0" borderId="1" xfId="1" applyFont="1" applyBorder="1"/>
    <xf numFmtId="0" fontId="7" fillId="0" borderId="1" xfId="0" applyFont="1" applyFill="1" applyBorder="1"/>
    <xf numFmtId="0" fontId="7" fillId="0" borderId="1" xfId="0" applyFont="1" applyBorder="1"/>
    <xf numFmtId="0" fontId="7" fillId="0" borderId="0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2" fillId="0" borderId="1" xfId="1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2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B67B7"/>
      <color rgb="FFEF8885"/>
      <color rgb="FFEC6D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ZoTAELRMXVPGU70ZGsckrMdr0FteeRUi" TargetMode="External"/><Relationship Id="rId7" Type="http://schemas.openxmlformats.org/officeDocument/2006/relationships/hyperlink" Target="https://www.youtube.com/playlist?list=PLZoTAELRMXVNUL99R4bDlVYsncUNvwUBB" TargetMode="External"/><Relationship Id="rId2" Type="http://schemas.openxmlformats.org/officeDocument/2006/relationships/hyperlink" Target="https://www.youtube.com/playlist?list=PLZoTAELRMXVMhVyr3Ri9IQ-t5QPBtxzJO" TargetMode="External"/><Relationship Id="rId1" Type="http://schemas.openxmlformats.org/officeDocument/2006/relationships/hyperlink" Target="https://www.youtube.com/playlist?list=PLZoTAELRMXVPBTrWtJkn3wWQxZkmTXGwe" TargetMode="External"/><Relationship Id="rId6" Type="http://schemas.openxmlformats.org/officeDocument/2006/relationships/hyperlink" Target="https://www.youtube.com/playlist?list=PLZoTAELRMXVOAvUbePX1lTdxQR8EY35Z1" TargetMode="External"/><Relationship Id="rId5" Type="http://schemas.openxmlformats.org/officeDocument/2006/relationships/hyperlink" Target="https://www.youtube.com/playlist?list=PLZoTAELRMXVOk1pRcOCaG5xtXxgMalpIe" TargetMode="External"/><Relationship Id="rId4" Type="http://schemas.openxmlformats.org/officeDocument/2006/relationships/hyperlink" Target="https://www.youtube.com/playlist?list=PLZoTAELRMXVMdJ5sqbCK2LiM0HhQVWNz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C51A-3349-4753-8050-64F44B586313}">
  <dimension ref="A1:J11"/>
  <sheetViews>
    <sheetView zoomScale="130" zoomScaleNormal="130" workbookViewId="0">
      <selection activeCell="J11" sqref="J11"/>
    </sheetView>
  </sheetViews>
  <sheetFormatPr defaultRowHeight="15" x14ac:dyDescent="0.25"/>
  <cols>
    <col min="1" max="1" width="3.42578125" bestFit="1" customWidth="1"/>
    <col min="2" max="2" width="7.28515625" bestFit="1" customWidth="1"/>
    <col min="3" max="3" width="19.85546875" bestFit="1" customWidth="1"/>
    <col min="4" max="4" width="53.28515625" style="20" customWidth="1"/>
    <col min="5" max="5" width="7" bestFit="1" customWidth="1"/>
    <col min="6" max="6" width="8.5703125" bestFit="1" customWidth="1"/>
    <col min="9" max="9" width="10.85546875" bestFit="1" customWidth="1"/>
    <col min="10" max="10" width="19.85546875" bestFit="1" customWidth="1"/>
  </cols>
  <sheetData>
    <row r="1" spans="1:10" x14ac:dyDescent="0.25">
      <c r="A1" s="1" t="s">
        <v>403</v>
      </c>
      <c r="B1" s="1" t="s">
        <v>83</v>
      </c>
      <c r="C1" s="1"/>
      <c r="D1" s="18" t="s">
        <v>82</v>
      </c>
      <c r="E1" s="1" t="s">
        <v>297</v>
      </c>
      <c r="F1" s="4" t="s">
        <v>287</v>
      </c>
      <c r="G1" s="4" t="s">
        <v>400</v>
      </c>
      <c r="I1" s="1" t="s">
        <v>402</v>
      </c>
      <c r="J1" s="1" t="s">
        <v>401</v>
      </c>
    </row>
    <row r="2" spans="1:10" ht="30" x14ac:dyDescent="0.25">
      <c r="A2" s="2">
        <v>1</v>
      </c>
      <c r="B2" s="2" t="s">
        <v>1</v>
      </c>
      <c r="C2" s="2" t="s">
        <v>1</v>
      </c>
      <c r="D2" s="19" t="s">
        <v>298</v>
      </c>
      <c r="E2" s="2">
        <f ca="1">POA!L3</f>
        <v>52</v>
      </c>
      <c r="F2" s="2">
        <f ca="1">POA!M3</f>
        <v>708.5</v>
      </c>
      <c r="G2" s="2">
        <f ca="1">ROUND(F2/60,2)</f>
        <v>11.81</v>
      </c>
      <c r="I2" s="2">
        <v>1</v>
      </c>
      <c r="J2" s="2" t="s">
        <v>306</v>
      </c>
    </row>
    <row r="3" spans="1:10" ht="30" x14ac:dyDescent="0.25">
      <c r="A3" s="2">
        <v>2</v>
      </c>
      <c r="B3" s="2" t="s">
        <v>84</v>
      </c>
      <c r="C3" s="2" t="s">
        <v>404</v>
      </c>
      <c r="D3" s="19" t="s">
        <v>296</v>
      </c>
      <c r="E3" s="2">
        <f ca="1">POA!L4</f>
        <v>28</v>
      </c>
      <c r="F3" s="2">
        <f ca="1">POA!M4</f>
        <v>282.2</v>
      </c>
      <c r="G3" s="2">
        <f t="shared" ref="G3:G10" ca="1" si="0">ROUND(F3/60,2)</f>
        <v>4.7</v>
      </c>
      <c r="I3" s="2">
        <v>2</v>
      </c>
      <c r="J3" s="2" t="s">
        <v>292</v>
      </c>
    </row>
    <row r="4" spans="1:10" ht="30" x14ac:dyDescent="0.25">
      <c r="A4" s="2">
        <v>3</v>
      </c>
      <c r="B4" s="2" t="s">
        <v>85</v>
      </c>
      <c r="C4" s="2" t="s">
        <v>405</v>
      </c>
      <c r="D4" s="19" t="s">
        <v>299</v>
      </c>
      <c r="E4" s="2">
        <f ca="1">POA!L5</f>
        <v>146</v>
      </c>
      <c r="F4" s="2">
        <f ca="1">POA!M5</f>
        <v>2069.1999999999989</v>
      </c>
      <c r="G4" s="2">
        <f t="shared" ca="1" si="0"/>
        <v>34.49</v>
      </c>
      <c r="I4" s="2">
        <v>3</v>
      </c>
      <c r="J4" s="2" t="s">
        <v>338</v>
      </c>
    </row>
    <row r="5" spans="1:10" ht="30" x14ac:dyDescent="0.25">
      <c r="A5" s="2">
        <v>4</v>
      </c>
      <c r="B5" s="2" t="s">
        <v>322</v>
      </c>
      <c r="C5" s="2" t="s">
        <v>406</v>
      </c>
      <c r="D5" s="19" t="s">
        <v>323</v>
      </c>
      <c r="E5" s="2">
        <f ca="1">POA!L6</f>
        <v>15</v>
      </c>
      <c r="F5" s="2">
        <f ca="1">POA!M6</f>
        <v>757.8</v>
      </c>
      <c r="G5" s="2">
        <f t="shared" ca="1" si="0"/>
        <v>12.63</v>
      </c>
      <c r="I5" s="2">
        <v>4</v>
      </c>
      <c r="J5" s="2" t="s">
        <v>293</v>
      </c>
    </row>
    <row r="6" spans="1:10" ht="30" x14ac:dyDescent="0.25">
      <c r="A6" s="2">
        <v>5</v>
      </c>
      <c r="B6" s="2" t="s">
        <v>86</v>
      </c>
      <c r="C6" s="2" t="s">
        <v>407</v>
      </c>
      <c r="D6" s="19" t="s">
        <v>300</v>
      </c>
      <c r="E6" s="2">
        <f ca="1">POA!L7</f>
        <v>79</v>
      </c>
      <c r="F6" s="2">
        <f ca="1">POA!M7</f>
        <v>1678.1000000000001</v>
      </c>
      <c r="G6" s="2">
        <f t="shared" ca="1" si="0"/>
        <v>27.97</v>
      </c>
    </row>
    <row r="7" spans="1:10" ht="30" x14ac:dyDescent="0.25">
      <c r="A7" s="2">
        <v>6</v>
      </c>
      <c r="B7" s="2" t="s">
        <v>87</v>
      </c>
      <c r="C7" s="2" t="s">
        <v>87</v>
      </c>
      <c r="D7" s="19" t="s">
        <v>301</v>
      </c>
      <c r="E7" s="2">
        <f ca="1">POA!L8</f>
        <v>29</v>
      </c>
      <c r="F7" s="2">
        <f ca="1">POA!M8</f>
        <v>573.4</v>
      </c>
      <c r="G7" s="2">
        <f t="shared" ca="1" si="0"/>
        <v>9.56</v>
      </c>
    </row>
    <row r="8" spans="1:10" ht="30" x14ac:dyDescent="0.25">
      <c r="A8" s="2">
        <v>7</v>
      </c>
      <c r="B8" s="2" t="s">
        <v>307</v>
      </c>
      <c r="C8" s="2" t="s">
        <v>408</v>
      </c>
      <c r="D8" s="19" t="s">
        <v>308</v>
      </c>
      <c r="E8" s="2">
        <f ca="1">POA!L9</f>
        <v>12</v>
      </c>
      <c r="F8" s="2">
        <f ca="1">POA!M9</f>
        <v>175.89999999999998</v>
      </c>
      <c r="G8" s="2">
        <f t="shared" ca="1" si="0"/>
        <v>2.93</v>
      </c>
    </row>
    <row r="9" spans="1:10" ht="30" x14ac:dyDescent="0.25">
      <c r="A9" s="2">
        <v>8</v>
      </c>
      <c r="B9" s="2" t="s">
        <v>303</v>
      </c>
      <c r="C9" s="2" t="s">
        <v>409</v>
      </c>
      <c r="D9" s="19" t="s">
        <v>302</v>
      </c>
      <c r="E9" s="2">
        <f ca="1">POA!L10</f>
        <v>6</v>
      </c>
      <c r="F9" s="2">
        <f ca="1">POA!M10</f>
        <v>619.79999999999995</v>
      </c>
      <c r="G9" s="2">
        <f t="shared" ca="1" si="0"/>
        <v>10.33</v>
      </c>
    </row>
    <row r="10" spans="1:10" ht="30" x14ac:dyDescent="0.25">
      <c r="A10" s="2">
        <v>9</v>
      </c>
      <c r="B10" s="2" t="s">
        <v>339</v>
      </c>
      <c r="C10" s="2" t="s">
        <v>410</v>
      </c>
      <c r="D10" s="19" t="s">
        <v>340</v>
      </c>
      <c r="E10" s="2">
        <f ca="1">POA!L12</f>
        <v>442</v>
      </c>
      <c r="F10" s="2">
        <f ca="1">POA!M11</f>
        <v>1669.4</v>
      </c>
      <c r="G10" s="2">
        <f t="shared" ca="1" si="0"/>
        <v>27.82</v>
      </c>
    </row>
    <row r="11" spans="1:10" x14ac:dyDescent="0.25">
      <c r="A11" s="1"/>
      <c r="B11" s="1" t="s">
        <v>288</v>
      </c>
      <c r="C11" s="1"/>
      <c r="D11" s="18"/>
      <c r="E11" s="1">
        <f ca="1">SUM(E2:E10)</f>
        <v>809</v>
      </c>
      <c r="F11" s="1">
        <f t="shared" ref="F11:G11" ca="1" si="1">SUM(F2:F10)</f>
        <v>8534.2999999999993</v>
      </c>
      <c r="G11" s="1">
        <f t="shared" ca="1" si="1"/>
        <v>142.24</v>
      </c>
    </row>
  </sheetData>
  <hyperlinks>
    <hyperlink ref="D4" r:id="rId1" xr:uid="{CF881C97-B0E9-40A7-ABA5-2B7B391CE7B5}"/>
    <hyperlink ref="D3" r:id="rId2" xr:uid="{DA7D77E1-29ED-47DC-86C5-25E740C18CCE}"/>
    <hyperlink ref="D6" r:id="rId3" xr:uid="{10250D33-4F46-410E-99E3-FDBD12DAEFB8}"/>
    <hyperlink ref="D7" r:id="rId4" xr:uid="{39033D00-2F35-41BE-8937-78A63B58F3AA}"/>
    <hyperlink ref="D9" r:id="rId5" xr:uid="{B179EDAE-0D5B-4B7B-97CE-6F80591E132C}"/>
    <hyperlink ref="D8" r:id="rId6" xr:uid="{4D3E4A6F-1C78-426C-BC8B-6DEB09185F1A}"/>
    <hyperlink ref="D2" r:id="rId7" xr:uid="{092106F5-A567-45A2-BCC7-B2B479591B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08F1-3D85-4DE9-AAF5-1B39128C94D9}">
  <dimension ref="A1:O14"/>
  <sheetViews>
    <sheetView topLeftCell="A7" zoomScale="85" zoomScaleNormal="85" workbookViewId="0">
      <selection activeCell="A15" sqref="A15"/>
    </sheetView>
  </sheetViews>
  <sheetFormatPr defaultColWidth="15.42578125" defaultRowHeight="36.75" customHeight="1" x14ac:dyDescent="0.25"/>
  <cols>
    <col min="15" max="15" width="20.5703125" customWidth="1"/>
  </cols>
  <sheetData>
    <row r="1" spans="1:15" ht="36.75" customHeight="1" x14ac:dyDescent="0.35">
      <c r="A1" s="16" t="s">
        <v>0</v>
      </c>
      <c r="B1" s="15" t="str">
        <f>Playlist!J2</f>
        <v>Yet to Start</v>
      </c>
      <c r="C1" s="15"/>
      <c r="D1" s="15" t="str">
        <f>Playlist!J3</f>
        <v>In Progress</v>
      </c>
      <c r="E1" s="15"/>
      <c r="F1" s="15" t="str">
        <f>Playlist!J4</f>
        <v>On Hold</v>
      </c>
      <c r="G1" s="15"/>
      <c r="H1" s="15" t="str">
        <f>Playlist!J5</f>
        <v>Completed</v>
      </c>
      <c r="I1" s="15"/>
      <c r="J1" s="15" t="s">
        <v>320</v>
      </c>
      <c r="K1" s="15"/>
      <c r="L1" s="15" t="s">
        <v>288</v>
      </c>
      <c r="M1" s="15"/>
      <c r="N1" s="7" t="s">
        <v>288</v>
      </c>
      <c r="O1" s="14" t="s">
        <v>321</v>
      </c>
    </row>
    <row r="2" spans="1:15" ht="36.75" customHeight="1" x14ac:dyDescent="0.35">
      <c r="A2" s="17"/>
      <c r="B2" s="8" t="s">
        <v>295</v>
      </c>
      <c r="C2" s="8" t="s">
        <v>287</v>
      </c>
      <c r="D2" s="8" t="s">
        <v>295</v>
      </c>
      <c r="E2" s="8" t="s">
        <v>287</v>
      </c>
      <c r="F2" s="8" t="s">
        <v>295</v>
      </c>
      <c r="G2" s="8" t="s">
        <v>287</v>
      </c>
      <c r="H2" s="8" t="s">
        <v>295</v>
      </c>
      <c r="I2" s="8" t="s">
        <v>287</v>
      </c>
      <c r="J2" s="8" t="s">
        <v>295</v>
      </c>
      <c r="K2" s="8" t="s">
        <v>287</v>
      </c>
      <c r="L2" s="8" t="s">
        <v>295</v>
      </c>
      <c r="M2" s="8" t="s">
        <v>287</v>
      </c>
      <c r="N2" s="9" t="s">
        <v>304</v>
      </c>
      <c r="O2" s="14"/>
    </row>
    <row r="3" spans="1:15" ht="36.75" customHeight="1" x14ac:dyDescent="0.35">
      <c r="A3" s="10" t="str">
        <f>HYPERLINK(Playlist!D2, Playlist!B2)</f>
        <v>Python</v>
      </c>
      <c r="B3" s="11">
        <f ca="1">COUNTIF(INDIRECT("'"&amp;$A3&amp;"'!$D:$D"),B$1)</f>
        <v>52</v>
      </c>
      <c r="C3" s="11">
        <f ca="1">SUMIF(INDIRECT("'"&amp;$A3&amp;"'!$D:$D"),B$1,INDIRECT("'"&amp;$A3&amp;"'!$C:$C"))</f>
        <v>708.5</v>
      </c>
      <c r="D3" s="11">
        <f ca="1">COUNTIF(INDIRECT("'"&amp;$A3&amp;"'!$D:$D"),D$1)</f>
        <v>0</v>
      </c>
      <c r="E3" s="11">
        <f ca="1">SUMIF(INDIRECT("'"&amp;$A3&amp;"'!$D:$D"),D$1,INDIRECT("'"&amp;$A3&amp;"'!$C:$C"))</f>
        <v>0</v>
      </c>
      <c r="F3" s="11">
        <f ca="1">COUNTIF(INDIRECT("'"&amp;$A3&amp;"'!$D:$D"),F$1)</f>
        <v>0</v>
      </c>
      <c r="G3" s="11">
        <f ca="1">SUMIF(INDIRECT("'"&amp;$A3&amp;"'!$D:$D"),F$1,INDIRECT("'"&amp;$A3&amp;"'!$C:$C"))</f>
        <v>0</v>
      </c>
      <c r="H3" s="11">
        <f ca="1">COUNTIF(INDIRECT("'"&amp;$A3&amp;"'!$D:$D"),H$1)</f>
        <v>0</v>
      </c>
      <c r="I3" s="11">
        <f ca="1">SUMIF(INDIRECT("'"&amp;$A3&amp;"'!$D:$D"),H$1,INDIRECT("'"&amp;$A3&amp;"'!$C:$C"))</f>
        <v>0</v>
      </c>
      <c r="J3" s="12">
        <f t="shared" ref="J3:J11" ca="1" si="0">SUM(B3,D3)</f>
        <v>52</v>
      </c>
      <c r="K3" s="12">
        <f t="shared" ref="K3:K11" ca="1" si="1">SUM(C3,E3)</f>
        <v>708.5</v>
      </c>
      <c r="L3" s="12">
        <f t="shared" ref="L3:L8" ca="1" si="2">SUM(B3,D3,F3,H3)</f>
        <v>52</v>
      </c>
      <c r="M3" s="12">
        <f t="shared" ref="M3:M11" ca="1" si="3">SUM(C3,E3,I3)</f>
        <v>708.5</v>
      </c>
      <c r="N3" s="12">
        <f ca="1">ROUND(M3/60,2)</f>
        <v>11.81</v>
      </c>
      <c r="O3" s="12">
        <f t="shared" ref="O3:O8" ca="1" si="4">ROUND(((H3+F3)/L3)*100,2)</f>
        <v>0</v>
      </c>
    </row>
    <row r="4" spans="1:15" ht="36.75" customHeight="1" x14ac:dyDescent="0.35">
      <c r="A4" s="10" t="str">
        <f>HYPERLINK(Playlist!D3, Playlist!B3)</f>
        <v>Stats</v>
      </c>
      <c r="B4" s="11">
        <f ca="1">COUNTIF(INDIRECT("'"&amp;$A4&amp;"'!$D:$D"),B$1)</f>
        <v>28</v>
      </c>
      <c r="C4" s="11">
        <f t="shared" ref="C4:C9" ca="1" si="5">SUMIF(INDIRECT("'"&amp;$A4&amp;"'!$D:$D"),B$1,INDIRECT("'"&amp;$A4&amp;"'!$C:$C"))</f>
        <v>282.2</v>
      </c>
      <c r="D4" s="11">
        <f t="shared" ref="D4:D9" ca="1" si="6">COUNTIF(INDIRECT("'"&amp;$A4&amp;"'!$D:$D"),D$1)</f>
        <v>0</v>
      </c>
      <c r="E4" s="11">
        <f t="shared" ref="E4:E9" ca="1" si="7">SUMIF(INDIRECT("'"&amp;$A4&amp;"'!$D:$D"),D$1,INDIRECT("'"&amp;$A4&amp;"'!$C:$C"))</f>
        <v>0</v>
      </c>
      <c r="F4" s="11">
        <f t="shared" ref="F4:F9" ca="1" si="8">COUNTIF(INDIRECT("'"&amp;$A4&amp;"'!$D:$D"),F$1)</f>
        <v>0</v>
      </c>
      <c r="G4" s="11">
        <f t="shared" ref="G4:G9" ca="1" si="9">SUMIF(INDIRECT("'"&amp;$A4&amp;"'!$D:$D"),F$1,INDIRECT("'"&amp;$A4&amp;"'!$C:$C"))</f>
        <v>0</v>
      </c>
      <c r="H4" s="11">
        <f t="shared" ref="H4:H9" ca="1" si="10">COUNTIF(INDIRECT("'"&amp;$A4&amp;"'!$D:$D"),H$1)</f>
        <v>0</v>
      </c>
      <c r="I4" s="11">
        <f t="shared" ref="I4:I9" ca="1" si="11">SUMIF(INDIRECT("'"&amp;$A4&amp;"'!$D:$D"),H$1,INDIRECT("'"&amp;$A4&amp;"'!$C:$C"))</f>
        <v>0</v>
      </c>
      <c r="J4" s="12">
        <f t="shared" ca="1" si="0"/>
        <v>28</v>
      </c>
      <c r="K4" s="12">
        <f t="shared" ca="1" si="1"/>
        <v>282.2</v>
      </c>
      <c r="L4" s="12">
        <f t="shared" ca="1" si="2"/>
        <v>28</v>
      </c>
      <c r="M4" s="12">
        <f t="shared" ca="1" si="3"/>
        <v>282.2</v>
      </c>
      <c r="N4" s="12">
        <f t="shared" ref="N4:N8" ca="1" si="12">ROUND(M4/60,2)</f>
        <v>4.7</v>
      </c>
      <c r="O4" s="12">
        <f t="shared" ca="1" si="4"/>
        <v>0</v>
      </c>
    </row>
    <row r="5" spans="1:15" ht="36.75" customHeight="1" x14ac:dyDescent="0.35">
      <c r="A5" s="10" t="str">
        <f>HYPERLINK(Playlist!D4, Playlist!B4)</f>
        <v>ML</v>
      </c>
      <c r="B5" s="11">
        <f t="shared" ref="B5:B9" ca="1" si="13">COUNTIF(INDIRECT("'"&amp;$A5&amp;"'!$D:$D"),B$1)</f>
        <v>146</v>
      </c>
      <c r="C5" s="11">
        <f t="shared" ca="1" si="5"/>
        <v>2069.1999999999989</v>
      </c>
      <c r="D5" s="11">
        <f t="shared" ca="1" si="6"/>
        <v>0</v>
      </c>
      <c r="E5" s="11">
        <f t="shared" ca="1" si="7"/>
        <v>0</v>
      </c>
      <c r="F5" s="11">
        <f t="shared" ca="1" si="8"/>
        <v>0</v>
      </c>
      <c r="G5" s="11">
        <f t="shared" ca="1" si="9"/>
        <v>0</v>
      </c>
      <c r="H5" s="11">
        <f t="shared" ca="1" si="10"/>
        <v>0</v>
      </c>
      <c r="I5" s="11">
        <f t="shared" ca="1" si="11"/>
        <v>0</v>
      </c>
      <c r="J5" s="12">
        <f t="shared" ca="1" si="0"/>
        <v>146</v>
      </c>
      <c r="K5" s="12">
        <f t="shared" ca="1" si="1"/>
        <v>2069.1999999999989</v>
      </c>
      <c r="L5" s="12">
        <f t="shared" ca="1" si="2"/>
        <v>146</v>
      </c>
      <c r="M5" s="12">
        <f t="shared" ca="1" si="3"/>
        <v>2069.1999999999989</v>
      </c>
      <c r="N5" s="12">
        <f t="shared" ca="1" si="12"/>
        <v>34.49</v>
      </c>
      <c r="O5" s="12">
        <f t="shared" ca="1" si="4"/>
        <v>0</v>
      </c>
    </row>
    <row r="6" spans="1:15" ht="36.75" customHeight="1" x14ac:dyDescent="0.35">
      <c r="A6" s="10" t="str">
        <f>HYPERLINK(Playlist!D5, Playlist!B5)</f>
        <v>FE</v>
      </c>
      <c r="B6" s="11">
        <f t="shared" ca="1" si="13"/>
        <v>15</v>
      </c>
      <c r="C6" s="11">
        <f t="shared" ca="1" si="5"/>
        <v>757.8</v>
      </c>
      <c r="D6" s="11">
        <f t="shared" ca="1" si="6"/>
        <v>0</v>
      </c>
      <c r="E6" s="11">
        <f t="shared" ca="1" si="7"/>
        <v>0</v>
      </c>
      <c r="F6" s="11">
        <f t="shared" ca="1" si="8"/>
        <v>0</v>
      </c>
      <c r="G6" s="11">
        <f t="shared" ca="1" si="9"/>
        <v>0</v>
      </c>
      <c r="H6" s="11">
        <f t="shared" ca="1" si="10"/>
        <v>0</v>
      </c>
      <c r="I6" s="11">
        <f t="shared" ca="1" si="11"/>
        <v>0</v>
      </c>
      <c r="J6" s="12">
        <f t="shared" ca="1" si="0"/>
        <v>15</v>
      </c>
      <c r="K6" s="12">
        <f t="shared" ca="1" si="1"/>
        <v>757.8</v>
      </c>
      <c r="L6" s="12">
        <f t="shared" ca="1" si="2"/>
        <v>15</v>
      </c>
      <c r="M6" s="12">
        <f t="shared" ca="1" si="3"/>
        <v>757.8</v>
      </c>
      <c r="N6" s="12">
        <f t="shared" ref="N6" ca="1" si="14">ROUND(M6/60,2)</f>
        <v>12.63</v>
      </c>
      <c r="O6" s="12">
        <f t="shared" ca="1" si="4"/>
        <v>0</v>
      </c>
    </row>
    <row r="7" spans="1:15" ht="36.75" customHeight="1" x14ac:dyDescent="0.35">
      <c r="A7" s="10" t="str">
        <f>HYPERLINK(Playlist!D6, Playlist!B6)</f>
        <v>DL</v>
      </c>
      <c r="B7" s="11">
        <f t="shared" ca="1" si="13"/>
        <v>79</v>
      </c>
      <c r="C7" s="11">
        <f t="shared" ca="1" si="5"/>
        <v>1678.1000000000001</v>
      </c>
      <c r="D7" s="11">
        <f t="shared" ca="1" si="6"/>
        <v>0</v>
      </c>
      <c r="E7" s="11">
        <f t="shared" ca="1" si="7"/>
        <v>0</v>
      </c>
      <c r="F7" s="11">
        <f t="shared" ca="1" si="8"/>
        <v>0</v>
      </c>
      <c r="G7" s="11">
        <f t="shared" ca="1" si="9"/>
        <v>0</v>
      </c>
      <c r="H7" s="11">
        <f t="shared" ca="1" si="10"/>
        <v>0</v>
      </c>
      <c r="I7" s="11">
        <f t="shared" ca="1" si="11"/>
        <v>0</v>
      </c>
      <c r="J7" s="12">
        <f t="shared" ca="1" si="0"/>
        <v>79</v>
      </c>
      <c r="K7" s="12">
        <f t="shared" ca="1" si="1"/>
        <v>1678.1000000000001</v>
      </c>
      <c r="L7" s="12">
        <f t="shared" ca="1" si="2"/>
        <v>79</v>
      </c>
      <c r="M7" s="12">
        <f t="shared" ca="1" si="3"/>
        <v>1678.1000000000001</v>
      </c>
      <c r="N7" s="12">
        <f t="shared" ca="1" si="12"/>
        <v>27.97</v>
      </c>
      <c r="O7" s="12">
        <f t="shared" ca="1" si="4"/>
        <v>0</v>
      </c>
    </row>
    <row r="8" spans="1:15" ht="36.75" customHeight="1" x14ac:dyDescent="0.35">
      <c r="A8" s="10" t="str">
        <f>HYPERLINK(Playlist!D7, Playlist!B7)</f>
        <v>NLP</v>
      </c>
      <c r="B8" s="11">
        <f t="shared" ca="1" si="13"/>
        <v>29</v>
      </c>
      <c r="C8" s="11">
        <f t="shared" ca="1" si="5"/>
        <v>573.4</v>
      </c>
      <c r="D8" s="11">
        <f t="shared" ca="1" si="6"/>
        <v>0</v>
      </c>
      <c r="E8" s="11">
        <f t="shared" ca="1" si="7"/>
        <v>0</v>
      </c>
      <c r="F8" s="11">
        <f t="shared" ca="1" si="8"/>
        <v>0</v>
      </c>
      <c r="G8" s="11">
        <f t="shared" ca="1" si="9"/>
        <v>0</v>
      </c>
      <c r="H8" s="11">
        <f t="shared" ca="1" si="10"/>
        <v>0</v>
      </c>
      <c r="I8" s="11">
        <f t="shared" ca="1" si="11"/>
        <v>0</v>
      </c>
      <c r="J8" s="12">
        <f t="shared" ca="1" si="0"/>
        <v>29</v>
      </c>
      <c r="K8" s="12">
        <f t="shared" ca="1" si="1"/>
        <v>573.4</v>
      </c>
      <c r="L8" s="12">
        <f t="shared" ca="1" si="2"/>
        <v>29</v>
      </c>
      <c r="M8" s="12">
        <f t="shared" ca="1" si="3"/>
        <v>573.4</v>
      </c>
      <c r="N8" s="12">
        <f t="shared" ca="1" si="12"/>
        <v>9.56</v>
      </c>
      <c r="O8" s="12">
        <f t="shared" ca="1" si="4"/>
        <v>0</v>
      </c>
    </row>
    <row r="9" spans="1:15" ht="36.75" customHeight="1" x14ac:dyDescent="0.35">
      <c r="A9" s="10" t="str">
        <f>HYPERLINK(Playlist!D8, Playlist!B8)</f>
        <v>DML</v>
      </c>
      <c r="B9" s="11">
        <f t="shared" ca="1" si="13"/>
        <v>12</v>
      </c>
      <c r="C9" s="11">
        <f t="shared" ca="1" si="5"/>
        <v>175.89999999999998</v>
      </c>
      <c r="D9" s="11">
        <f t="shared" ca="1" si="6"/>
        <v>0</v>
      </c>
      <c r="E9" s="11">
        <f t="shared" ca="1" si="7"/>
        <v>0</v>
      </c>
      <c r="F9" s="11">
        <f t="shared" ca="1" si="8"/>
        <v>0</v>
      </c>
      <c r="G9" s="11">
        <f t="shared" ca="1" si="9"/>
        <v>0</v>
      </c>
      <c r="H9" s="11">
        <f t="shared" ca="1" si="10"/>
        <v>0</v>
      </c>
      <c r="I9" s="11">
        <f t="shared" ca="1" si="11"/>
        <v>0</v>
      </c>
      <c r="J9" s="12">
        <f t="shared" ca="1" si="0"/>
        <v>12</v>
      </c>
      <c r="K9" s="12">
        <f t="shared" ca="1" si="1"/>
        <v>175.89999999999998</v>
      </c>
      <c r="L9" s="12">
        <f ca="1">SUM(B9,D9,F9,H9)</f>
        <v>12</v>
      </c>
      <c r="M9" s="12">
        <f t="shared" ca="1" si="3"/>
        <v>175.89999999999998</v>
      </c>
      <c r="N9" s="12">
        <f ca="1">ROUND(M9/60,2)</f>
        <v>2.93</v>
      </c>
      <c r="O9" s="12">
        <f ca="1">ROUND(((H9+F9)/L9)*100,2)</f>
        <v>0</v>
      </c>
    </row>
    <row r="10" spans="1:15" ht="36.75" customHeight="1" x14ac:dyDescent="0.35">
      <c r="A10" s="10" t="str">
        <f>HYPERLINK(Playlist!D9, Playlist!B9)</f>
        <v>MLOPS</v>
      </c>
      <c r="B10" s="11">
        <f ca="1">COUNTIF(INDIRECT("'"&amp;$A10&amp;"'!$D:$D"),B$1)</f>
        <v>6</v>
      </c>
      <c r="C10" s="11">
        <f ca="1">SUMIF(INDIRECT("'"&amp;$A10&amp;"'!$D:$D"),B$1,INDIRECT("'"&amp;$A10&amp;"'!$C:$C"))</f>
        <v>619.79999999999995</v>
      </c>
      <c r="D10" s="11">
        <f ca="1">COUNTIF(INDIRECT("'"&amp;$A10&amp;"'!$D:$D"),D$1)</f>
        <v>0</v>
      </c>
      <c r="E10" s="11">
        <f ca="1">SUMIF(INDIRECT("'"&amp;$A10&amp;"'!$D:$D"),D$1,INDIRECT("'"&amp;$A10&amp;"'!$C:$C"))</f>
        <v>0</v>
      </c>
      <c r="F10" s="11">
        <f ca="1">COUNTIF(INDIRECT("'"&amp;$A10&amp;"'!$D:$D"),F$1)</f>
        <v>0</v>
      </c>
      <c r="G10" s="11">
        <f ca="1">SUMIF(INDIRECT("'"&amp;$A10&amp;"'!$D:$D"),F$1,INDIRECT("'"&amp;$A10&amp;"'!$C:$C"))</f>
        <v>0</v>
      </c>
      <c r="H10" s="11">
        <f ca="1">COUNTIF(INDIRECT("'"&amp;$A10&amp;"'!$D:$D"),H$1)</f>
        <v>0</v>
      </c>
      <c r="I10" s="11">
        <f ca="1">SUMIF(INDIRECT("'"&amp;$A10&amp;"'!$D:$D"),H$1,INDIRECT("'"&amp;$A10&amp;"'!$C:$C"))</f>
        <v>0</v>
      </c>
      <c r="J10" s="12">
        <f t="shared" ca="1" si="0"/>
        <v>6</v>
      </c>
      <c r="K10" s="12">
        <f t="shared" ca="1" si="1"/>
        <v>619.79999999999995</v>
      </c>
      <c r="L10" s="12">
        <f ca="1">SUM(B10,D10,F10,H10)</f>
        <v>6</v>
      </c>
      <c r="M10" s="12">
        <f t="shared" ca="1" si="3"/>
        <v>619.79999999999995</v>
      </c>
      <c r="N10" s="12">
        <f ca="1">ROUND(M10/60,2)</f>
        <v>10.33</v>
      </c>
      <c r="O10" s="12">
        <f ca="1">ROUND(((H10+F10)/L10)*100,2)</f>
        <v>0</v>
      </c>
    </row>
    <row r="11" spans="1:15" ht="36.75" customHeight="1" x14ac:dyDescent="0.35">
      <c r="A11" s="3" t="str">
        <f>HYPERLINK(Playlist!D10, Playlist!B10)</f>
        <v>DSIQ</v>
      </c>
      <c r="B11" s="11">
        <f ca="1">COUNTIF(INDIRECT("'"&amp;$A11&amp;"'!$D:$D"),B$1)</f>
        <v>75</v>
      </c>
      <c r="C11" s="11">
        <f ca="1">SUMIF(INDIRECT("'"&amp;$A11&amp;"'!$D:$D"),B$1,INDIRECT("'"&amp;$A11&amp;"'!$C:$C"))</f>
        <v>1669.4</v>
      </c>
      <c r="D11" s="11">
        <f ca="1">COUNTIF(INDIRECT("'"&amp;$A11&amp;"'!$D:$D"),D$1)</f>
        <v>0</v>
      </c>
      <c r="E11" s="11">
        <f ca="1">SUMIF(INDIRECT("'"&amp;$A11&amp;"'!$D:$D"),D$1,INDIRECT("'"&amp;$A11&amp;"'!$C:$C"))</f>
        <v>0</v>
      </c>
      <c r="F11" s="11">
        <f ca="1">COUNTIF(INDIRECT("'"&amp;$A11&amp;"'!$D:$D"),F$1)</f>
        <v>0</v>
      </c>
      <c r="G11" s="11">
        <f ca="1">SUMIF(INDIRECT("'"&amp;$A11&amp;"'!$D:$D"),F$1,INDIRECT("'"&amp;$A11&amp;"'!$C:$C"))</f>
        <v>0</v>
      </c>
      <c r="H11" s="11">
        <f ca="1">COUNTIF(INDIRECT("'"&amp;$A11&amp;"'!$D:$D"),H$1)</f>
        <v>0</v>
      </c>
      <c r="I11" s="11">
        <f ca="1">SUMIF(INDIRECT("'"&amp;$A11&amp;"'!$D:$D"),H$1,INDIRECT("'"&amp;$A11&amp;"'!$C:$C"))</f>
        <v>0</v>
      </c>
      <c r="J11" s="12">
        <f t="shared" ca="1" si="0"/>
        <v>75</v>
      </c>
      <c r="K11" s="12">
        <f t="shared" ca="1" si="1"/>
        <v>1669.4</v>
      </c>
      <c r="L11" s="12">
        <f ca="1">SUM(B11,D11,F11,H11)</f>
        <v>75</v>
      </c>
      <c r="M11" s="12">
        <f t="shared" ca="1" si="3"/>
        <v>1669.4</v>
      </c>
      <c r="N11" s="12">
        <f ca="1">ROUND(M11/60,2)</f>
        <v>27.82</v>
      </c>
      <c r="O11" s="12">
        <f t="shared" ref="O11:O12" ca="1" si="15">ROUND(((H11+F11)/L11)*100,2)</f>
        <v>0</v>
      </c>
    </row>
    <row r="12" spans="1:15" ht="36.75" customHeight="1" x14ac:dyDescent="0.35">
      <c r="A12" s="8" t="s">
        <v>288</v>
      </c>
      <c r="B12" s="8">
        <f ca="1">SUM(B3:B11)</f>
        <v>442</v>
      </c>
      <c r="C12" s="8">
        <f t="shared" ref="C12:N12" ca="1" si="16">SUM(C3:C11)</f>
        <v>8534.2999999999993</v>
      </c>
      <c r="D12" s="8">
        <f t="shared" ca="1" si="16"/>
        <v>0</v>
      </c>
      <c r="E12" s="8">
        <f t="shared" ca="1" si="16"/>
        <v>0</v>
      </c>
      <c r="F12" s="8">
        <f t="shared" ca="1" si="16"/>
        <v>0</v>
      </c>
      <c r="G12" s="8">
        <f t="shared" ca="1" si="16"/>
        <v>0</v>
      </c>
      <c r="H12" s="8">
        <f t="shared" ca="1" si="16"/>
        <v>0</v>
      </c>
      <c r="I12" s="8">
        <f t="shared" ca="1" si="16"/>
        <v>0</v>
      </c>
      <c r="J12" s="8">
        <f t="shared" ca="1" si="16"/>
        <v>442</v>
      </c>
      <c r="K12" s="8">
        <f t="shared" ca="1" si="16"/>
        <v>8534.2999999999993</v>
      </c>
      <c r="L12" s="8">
        <f t="shared" ca="1" si="16"/>
        <v>442</v>
      </c>
      <c r="M12" s="8">
        <f t="shared" ca="1" si="16"/>
        <v>8534.2999999999993</v>
      </c>
      <c r="N12" s="8">
        <f t="shared" ca="1" si="16"/>
        <v>142.24</v>
      </c>
      <c r="O12" s="12">
        <f t="shared" ca="1" si="15"/>
        <v>0</v>
      </c>
    </row>
    <row r="14" spans="1:15" ht="36.75" customHeight="1" x14ac:dyDescent="0.35">
      <c r="B14" s="13"/>
    </row>
  </sheetData>
  <mergeCells count="8">
    <mergeCell ref="O1:O2"/>
    <mergeCell ref="F1:G1"/>
    <mergeCell ref="A1:A2"/>
    <mergeCell ref="B1:C1"/>
    <mergeCell ref="L1:M1"/>
    <mergeCell ref="D1:E1"/>
    <mergeCell ref="H1:I1"/>
    <mergeCell ref="J1:K1"/>
  </mergeCells>
  <conditionalFormatting sqref="B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12">
    <cfRule type="dataBar" priority="1">
      <dataBar showValue="0">
        <cfvo type="num" val="0"/>
        <cfvo type="num" val="100"/>
        <color theme="4"/>
      </dataBar>
      <extLst>
        <ext xmlns:x14="http://schemas.microsoft.com/office/spreadsheetml/2009/9/main" uri="{B025F937-C7B1-47D3-B67F-A62EFF666E3E}">
          <x14:id>{D9B0F908-DC9D-4B71-9901-B6D166505794}</x14:id>
        </ext>
      </extLst>
    </cfRule>
  </conditionalFormatting>
  <conditionalFormatting sqref="B3:B1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1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1">
    <cfRule type="colorScale" priority="32">
      <colorScale>
        <cfvo type="min"/>
        <cfvo type="max"/>
        <color rgb="FFFFEF9C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1">
    <cfRule type="colorScale" priority="38">
      <colorScale>
        <cfvo type="min"/>
        <cfvo type="max"/>
        <color rgb="FFFFEF9C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ignoredErrors>
    <ignoredError sqref="C3:H9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B0F908-DC9D-4B71-9901-B6D16650579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O3:O12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AD00-AFD0-45D1-9051-9C1F51355BCE}">
  <dimension ref="A1:D54"/>
  <sheetViews>
    <sheetView tabSelected="1" zoomScale="130" zoomScaleNormal="130" workbookViewId="0">
      <selection activeCell="F9" sqref="F9"/>
    </sheetView>
  </sheetViews>
  <sheetFormatPr defaultRowHeight="15" x14ac:dyDescent="0.25"/>
  <cols>
    <col min="1" max="1" width="5.42578125" bestFit="1" customWidth="1"/>
    <col min="2" max="2" width="91.28515625" bestFit="1" customWidth="1"/>
    <col min="3" max="3" width="6" bestFit="1" customWidth="1"/>
    <col min="4" max="4" width="13.7109375" bestFit="1" customWidth="1"/>
  </cols>
  <sheetData>
    <row r="1" spans="1:4" x14ac:dyDescent="0.25">
      <c r="A1" s="5" t="str">
        <f>HYPERLINK(Playlist!D2,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3</v>
      </c>
      <c r="C2" s="2">
        <v>29.2</v>
      </c>
      <c r="D2" s="2" t="s">
        <v>306</v>
      </c>
    </row>
    <row r="3" spans="1:4" x14ac:dyDescent="0.25">
      <c r="A3" s="2">
        <v>2</v>
      </c>
      <c r="B3" s="2" t="s">
        <v>4</v>
      </c>
      <c r="C3" s="2">
        <v>19.100000000000001</v>
      </c>
      <c r="D3" s="2" t="s">
        <v>306</v>
      </c>
    </row>
    <row r="4" spans="1:4" x14ac:dyDescent="0.25">
      <c r="A4" s="2">
        <v>3</v>
      </c>
      <c r="B4" s="2" t="s">
        <v>5</v>
      </c>
      <c r="C4" s="2">
        <v>5.2</v>
      </c>
      <c r="D4" s="2" t="s">
        <v>306</v>
      </c>
    </row>
    <row r="5" spans="1:4" x14ac:dyDescent="0.25">
      <c r="A5" s="2">
        <v>4</v>
      </c>
      <c r="B5" s="2" t="s">
        <v>6</v>
      </c>
      <c r="C5" s="2">
        <v>21.8</v>
      </c>
      <c r="D5" s="2" t="s">
        <v>306</v>
      </c>
    </row>
    <row r="6" spans="1:4" x14ac:dyDescent="0.25">
      <c r="A6" s="2">
        <v>5</v>
      </c>
      <c r="B6" s="2" t="s">
        <v>7</v>
      </c>
      <c r="C6" s="2">
        <v>16.100000000000001</v>
      </c>
      <c r="D6" s="2" t="s">
        <v>306</v>
      </c>
    </row>
    <row r="7" spans="1:4" x14ac:dyDescent="0.25">
      <c r="A7" s="2">
        <v>6</v>
      </c>
      <c r="B7" s="2" t="s">
        <v>8</v>
      </c>
      <c r="C7" s="2">
        <v>26.7</v>
      </c>
      <c r="D7" s="2" t="s">
        <v>306</v>
      </c>
    </row>
    <row r="8" spans="1:4" x14ac:dyDescent="0.25">
      <c r="A8" s="2">
        <v>7</v>
      </c>
      <c r="B8" s="2" t="s">
        <v>9</v>
      </c>
      <c r="C8" s="2">
        <v>16.8</v>
      </c>
      <c r="D8" s="2" t="s">
        <v>306</v>
      </c>
    </row>
    <row r="9" spans="1:4" x14ac:dyDescent="0.25">
      <c r="A9" s="2">
        <v>8</v>
      </c>
      <c r="B9" s="2" t="s">
        <v>10</v>
      </c>
      <c r="C9" s="2">
        <v>29.5</v>
      </c>
      <c r="D9" s="2" t="s">
        <v>306</v>
      </c>
    </row>
    <row r="10" spans="1:4" x14ac:dyDescent="0.25">
      <c r="A10" s="2">
        <v>9</v>
      </c>
      <c r="B10" s="2" t="s">
        <v>11</v>
      </c>
      <c r="C10" s="2">
        <v>19.5</v>
      </c>
      <c r="D10" s="2" t="s">
        <v>306</v>
      </c>
    </row>
    <row r="11" spans="1:4" x14ac:dyDescent="0.25">
      <c r="A11" s="2">
        <v>10</v>
      </c>
      <c r="B11" s="2" t="s">
        <v>12</v>
      </c>
      <c r="C11" s="2">
        <v>25.9</v>
      </c>
      <c r="D11" s="2" t="s">
        <v>306</v>
      </c>
    </row>
    <row r="12" spans="1:4" x14ac:dyDescent="0.25">
      <c r="A12" s="2">
        <v>11</v>
      </c>
      <c r="B12" s="2" t="s">
        <v>13</v>
      </c>
      <c r="C12" s="2">
        <v>21.7</v>
      </c>
      <c r="D12" s="2" t="s">
        <v>306</v>
      </c>
    </row>
    <row r="13" spans="1:4" x14ac:dyDescent="0.25">
      <c r="A13" s="2">
        <v>12</v>
      </c>
      <c r="B13" s="2" t="s">
        <v>14</v>
      </c>
      <c r="C13" s="2">
        <v>10.9</v>
      </c>
      <c r="D13" s="2" t="s">
        <v>306</v>
      </c>
    </row>
    <row r="14" spans="1:4" x14ac:dyDescent="0.25">
      <c r="A14" s="2">
        <v>13</v>
      </c>
      <c r="B14" s="2" t="s">
        <v>15</v>
      </c>
      <c r="C14" s="2">
        <v>10.1</v>
      </c>
      <c r="D14" s="2" t="s">
        <v>306</v>
      </c>
    </row>
    <row r="15" spans="1:4" x14ac:dyDescent="0.25">
      <c r="A15" s="2">
        <v>14</v>
      </c>
      <c r="B15" s="2" t="s">
        <v>16</v>
      </c>
      <c r="C15" s="2">
        <v>31.8</v>
      </c>
      <c r="D15" s="2" t="s">
        <v>306</v>
      </c>
    </row>
    <row r="16" spans="1:4" x14ac:dyDescent="0.25">
      <c r="A16" s="2">
        <v>15</v>
      </c>
      <c r="B16" s="2" t="s">
        <v>17</v>
      </c>
      <c r="C16" s="2">
        <v>13.7</v>
      </c>
      <c r="D16" s="2" t="s">
        <v>306</v>
      </c>
    </row>
    <row r="17" spans="1:4" x14ac:dyDescent="0.25">
      <c r="A17" s="2">
        <v>16</v>
      </c>
      <c r="B17" s="2" t="s">
        <v>18</v>
      </c>
      <c r="C17" s="2">
        <v>6.1</v>
      </c>
      <c r="D17" s="2" t="s">
        <v>306</v>
      </c>
    </row>
    <row r="18" spans="1:4" x14ac:dyDescent="0.25">
      <c r="A18" s="2">
        <v>17</v>
      </c>
      <c r="B18" s="2" t="s">
        <v>19</v>
      </c>
      <c r="C18" s="2">
        <v>4.8</v>
      </c>
      <c r="D18" s="2" t="s">
        <v>306</v>
      </c>
    </row>
    <row r="19" spans="1:4" x14ac:dyDescent="0.25">
      <c r="A19" s="2">
        <v>18</v>
      </c>
      <c r="B19" s="2" t="s">
        <v>20</v>
      </c>
      <c r="C19" s="2">
        <v>4</v>
      </c>
      <c r="D19" s="2" t="s">
        <v>306</v>
      </c>
    </row>
    <row r="20" spans="1:4" x14ac:dyDescent="0.25">
      <c r="A20" s="2">
        <v>19</v>
      </c>
      <c r="B20" s="2" t="s">
        <v>21</v>
      </c>
      <c r="C20" s="2">
        <v>8.1</v>
      </c>
      <c r="D20" s="2" t="s">
        <v>306</v>
      </c>
    </row>
    <row r="21" spans="1:4" x14ac:dyDescent="0.25">
      <c r="A21" s="2">
        <v>20</v>
      </c>
      <c r="B21" s="2" t="s">
        <v>22</v>
      </c>
      <c r="C21" s="2">
        <v>10.4</v>
      </c>
      <c r="D21" s="2" t="s">
        <v>306</v>
      </c>
    </row>
    <row r="22" spans="1:4" x14ac:dyDescent="0.25">
      <c r="A22" s="2">
        <v>21</v>
      </c>
      <c r="B22" s="2" t="s">
        <v>23</v>
      </c>
      <c r="C22" s="2">
        <v>12</v>
      </c>
      <c r="D22" s="2" t="s">
        <v>306</v>
      </c>
    </row>
    <row r="23" spans="1:4" x14ac:dyDescent="0.25">
      <c r="A23" s="2">
        <v>22</v>
      </c>
      <c r="B23" s="2" t="s">
        <v>24</v>
      </c>
      <c r="C23" s="2">
        <v>5</v>
      </c>
      <c r="D23" s="2" t="s">
        <v>306</v>
      </c>
    </row>
    <row r="24" spans="1:4" x14ac:dyDescent="0.25">
      <c r="A24" s="2">
        <v>23</v>
      </c>
      <c r="B24" s="2" t="s">
        <v>25</v>
      </c>
      <c r="C24" s="2">
        <v>14.5</v>
      </c>
      <c r="D24" s="2" t="s">
        <v>306</v>
      </c>
    </row>
    <row r="25" spans="1:4" x14ac:dyDescent="0.25">
      <c r="A25" s="2">
        <v>24</v>
      </c>
      <c r="B25" s="2" t="s">
        <v>26</v>
      </c>
      <c r="C25" s="2">
        <v>20.5</v>
      </c>
      <c r="D25" s="2" t="s">
        <v>306</v>
      </c>
    </row>
    <row r="26" spans="1:4" x14ac:dyDescent="0.25">
      <c r="A26" s="2">
        <v>25</v>
      </c>
      <c r="B26" s="2" t="s">
        <v>27</v>
      </c>
      <c r="C26" s="2">
        <v>9</v>
      </c>
      <c r="D26" s="2" t="s">
        <v>306</v>
      </c>
    </row>
    <row r="27" spans="1:4" x14ac:dyDescent="0.25">
      <c r="A27" s="2">
        <v>26</v>
      </c>
      <c r="B27" s="2" t="s">
        <v>28</v>
      </c>
      <c r="C27" s="2">
        <v>11.7</v>
      </c>
      <c r="D27" s="2" t="s">
        <v>306</v>
      </c>
    </row>
    <row r="28" spans="1:4" x14ac:dyDescent="0.25">
      <c r="A28" s="2">
        <v>27</v>
      </c>
      <c r="B28" s="2" t="s">
        <v>29</v>
      </c>
      <c r="C28" s="2">
        <v>10.1</v>
      </c>
      <c r="D28" s="2" t="s">
        <v>306</v>
      </c>
    </row>
    <row r="29" spans="1:4" x14ac:dyDescent="0.25">
      <c r="A29" s="2">
        <v>28</v>
      </c>
      <c r="B29" s="2" t="s">
        <v>30</v>
      </c>
      <c r="C29" s="2">
        <v>6.1</v>
      </c>
      <c r="D29" s="2" t="s">
        <v>306</v>
      </c>
    </row>
    <row r="30" spans="1:4" x14ac:dyDescent="0.25">
      <c r="A30" s="2">
        <v>29</v>
      </c>
      <c r="B30" s="2" t="s">
        <v>31</v>
      </c>
      <c r="C30" s="2">
        <v>16.3</v>
      </c>
      <c r="D30" s="2" t="s">
        <v>306</v>
      </c>
    </row>
    <row r="31" spans="1:4" x14ac:dyDescent="0.25">
      <c r="A31" s="2">
        <v>30</v>
      </c>
      <c r="B31" s="2" t="s">
        <v>32</v>
      </c>
      <c r="C31" s="2">
        <v>17</v>
      </c>
      <c r="D31" s="2" t="s">
        <v>306</v>
      </c>
    </row>
    <row r="32" spans="1:4" x14ac:dyDescent="0.25">
      <c r="A32" s="2">
        <v>31</v>
      </c>
      <c r="B32" s="2" t="s">
        <v>33</v>
      </c>
      <c r="C32" s="2">
        <v>6.9</v>
      </c>
      <c r="D32" s="2" t="s">
        <v>306</v>
      </c>
    </row>
    <row r="33" spans="1:4" x14ac:dyDescent="0.25">
      <c r="A33" s="2">
        <v>32</v>
      </c>
      <c r="B33" s="2" t="s">
        <v>34</v>
      </c>
      <c r="C33" s="2">
        <v>5.5</v>
      </c>
      <c r="D33" s="2" t="s">
        <v>306</v>
      </c>
    </row>
    <row r="34" spans="1:4" x14ac:dyDescent="0.25">
      <c r="A34" s="2">
        <v>33</v>
      </c>
      <c r="B34" s="2" t="s">
        <v>35</v>
      </c>
      <c r="C34" s="2">
        <v>12.8</v>
      </c>
      <c r="D34" s="2" t="s">
        <v>306</v>
      </c>
    </row>
    <row r="35" spans="1:4" x14ac:dyDescent="0.25">
      <c r="A35" s="2">
        <v>34</v>
      </c>
      <c r="B35" s="2" t="s">
        <v>36</v>
      </c>
      <c r="C35" s="2">
        <v>12.1</v>
      </c>
      <c r="D35" s="2" t="s">
        <v>306</v>
      </c>
    </row>
    <row r="36" spans="1:4" x14ac:dyDescent="0.25">
      <c r="A36" s="2">
        <v>35</v>
      </c>
      <c r="B36" s="2" t="s">
        <v>37</v>
      </c>
      <c r="C36" s="2">
        <v>9.8000000000000007</v>
      </c>
      <c r="D36" s="2" t="s">
        <v>306</v>
      </c>
    </row>
    <row r="37" spans="1:4" x14ac:dyDescent="0.25">
      <c r="A37" s="2">
        <v>36</v>
      </c>
      <c r="B37" s="2" t="s">
        <v>38</v>
      </c>
      <c r="C37" s="2">
        <v>9.4</v>
      </c>
      <c r="D37" s="2" t="s">
        <v>306</v>
      </c>
    </row>
    <row r="38" spans="1:4" x14ac:dyDescent="0.25">
      <c r="A38" s="2">
        <v>37</v>
      </c>
      <c r="B38" s="2" t="s">
        <v>39</v>
      </c>
      <c r="C38" s="2">
        <v>9.6999999999999993</v>
      </c>
      <c r="D38" s="2" t="s">
        <v>306</v>
      </c>
    </row>
    <row r="39" spans="1:4" x14ac:dyDescent="0.25">
      <c r="A39" s="2">
        <v>38</v>
      </c>
      <c r="B39" s="2" t="s">
        <v>40</v>
      </c>
      <c r="C39" s="2">
        <v>18.5</v>
      </c>
      <c r="D39" s="2" t="s">
        <v>306</v>
      </c>
    </row>
    <row r="40" spans="1:4" x14ac:dyDescent="0.25">
      <c r="A40" s="2">
        <v>39</v>
      </c>
      <c r="B40" s="2" t="s">
        <v>41</v>
      </c>
      <c r="C40" s="2">
        <v>23.5</v>
      </c>
      <c r="D40" s="2" t="s">
        <v>306</v>
      </c>
    </row>
    <row r="41" spans="1:4" x14ac:dyDescent="0.25">
      <c r="A41" s="2">
        <v>40</v>
      </c>
      <c r="B41" s="2" t="s">
        <v>42</v>
      </c>
      <c r="C41" s="2">
        <v>19.8</v>
      </c>
      <c r="D41" s="2" t="s">
        <v>306</v>
      </c>
    </row>
    <row r="42" spans="1:4" x14ac:dyDescent="0.25">
      <c r="A42" s="2">
        <v>41</v>
      </c>
      <c r="B42" s="2" t="s">
        <v>43</v>
      </c>
      <c r="C42" s="2">
        <v>14.2</v>
      </c>
      <c r="D42" s="2" t="s">
        <v>306</v>
      </c>
    </row>
    <row r="43" spans="1:4" x14ac:dyDescent="0.25">
      <c r="A43" s="2">
        <v>42</v>
      </c>
      <c r="B43" s="2" t="s">
        <v>44</v>
      </c>
      <c r="C43" s="2">
        <v>13.9</v>
      </c>
      <c r="D43" s="2" t="s">
        <v>306</v>
      </c>
    </row>
    <row r="44" spans="1:4" x14ac:dyDescent="0.25">
      <c r="A44" s="2">
        <v>43</v>
      </c>
      <c r="B44" s="2" t="s">
        <v>45</v>
      </c>
      <c r="C44" s="2">
        <v>8.1</v>
      </c>
      <c r="D44" s="2" t="s">
        <v>306</v>
      </c>
    </row>
    <row r="45" spans="1:4" x14ac:dyDescent="0.25">
      <c r="A45" s="2">
        <v>44</v>
      </c>
      <c r="B45" s="2" t="s">
        <v>46</v>
      </c>
      <c r="C45" s="2">
        <v>14.2</v>
      </c>
      <c r="D45" s="2" t="s">
        <v>306</v>
      </c>
    </row>
    <row r="46" spans="1:4" x14ac:dyDescent="0.25">
      <c r="A46" s="2">
        <v>45</v>
      </c>
      <c r="B46" s="2" t="s">
        <v>47</v>
      </c>
      <c r="C46" s="2">
        <v>6.8</v>
      </c>
      <c r="D46" s="2" t="s">
        <v>306</v>
      </c>
    </row>
    <row r="47" spans="1:4" x14ac:dyDescent="0.25">
      <c r="A47" s="2">
        <v>46</v>
      </c>
      <c r="B47" s="2" t="s">
        <v>48</v>
      </c>
      <c r="C47" s="2">
        <v>14.5</v>
      </c>
      <c r="D47" s="2" t="s">
        <v>306</v>
      </c>
    </row>
    <row r="48" spans="1:4" x14ac:dyDescent="0.25">
      <c r="A48" s="2">
        <v>47</v>
      </c>
      <c r="B48" s="2" t="s">
        <v>49</v>
      </c>
      <c r="C48" s="2">
        <v>8.9</v>
      </c>
      <c r="D48" s="2" t="s">
        <v>306</v>
      </c>
    </row>
    <row r="49" spans="1:4" x14ac:dyDescent="0.25">
      <c r="A49" s="2">
        <v>48</v>
      </c>
      <c r="B49" s="2" t="s">
        <v>50</v>
      </c>
      <c r="C49" s="2">
        <v>6.2</v>
      </c>
      <c r="D49" s="2" t="s">
        <v>306</v>
      </c>
    </row>
    <row r="50" spans="1:4" x14ac:dyDescent="0.25">
      <c r="A50" s="2">
        <v>49</v>
      </c>
      <c r="B50" s="2" t="s">
        <v>51</v>
      </c>
      <c r="C50" s="2">
        <v>9.1999999999999993</v>
      </c>
      <c r="D50" s="2" t="s">
        <v>306</v>
      </c>
    </row>
    <row r="51" spans="1:4" x14ac:dyDescent="0.25">
      <c r="A51" s="2">
        <v>50</v>
      </c>
      <c r="B51" s="2" t="s">
        <v>52</v>
      </c>
      <c r="C51" s="2">
        <v>12.3</v>
      </c>
      <c r="D51" s="2" t="s">
        <v>306</v>
      </c>
    </row>
    <row r="52" spans="1:4" x14ac:dyDescent="0.25">
      <c r="A52" s="2">
        <v>51</v>
      </c>
      <c r="B52" s="2" t="s">
        <v>53</v>
      </c>
      <c r="C52" s="2">
        <v>6.8</v>
      </c>
      <c r="D52" s="2" t="s">
        <v>306</v>
      </c>
    </row>
    <row r="53" spans="1:4" x14ac:dyDescent="0.25">
      <c r="A53" s="2">
        <v>52</v>
      </c>
      <c r="B53" s="2" t="s">
        <v>54</v>
      </c>
      <c r="C53" s="2">
        <v>11.8</v>
      </c>
      <c r="D53" s="2" t="s">
        <v>306</v>
      </c>
    </row>
    <row r="54" spans="1:4" x14ac:dyDescent="0.25">
      <c r="A54" s="1" t="s">
        <v>288</v>
      </c>
      <c r="B54" s="1"/>
      <c r="C54" s="1">
        <f>SUM(C2:C53)</f>
        <v>708.5</v>
      </c>
      <c r="D54" s="1">
        <f>COUNTIF(Python!D2:D53,Playlist!$J$5)</f>
        <v>0</v>
      </c>
    </row>
  </sheetData>
  <conditionalFormatting sqref="D55:D1048576 D1:D53">
    <cfRule type="containsText" dxfId="28" priority="4" operator="containsText" text="Start">
      <formula>NOT(ISERROR(SEARCH("Start",D1)))</formula>
    </cfRule>
    <cfRule type="containsText" dxfId="27" priority="5" operator="containsText" text="Completed">
      <formula>NOT(ISERROR(SEARCH("Completed",D1)))</formula>
    </cfRule>
    <cfRule type="containsText" dxfId="26" priority="6" operator="containsText" text="In Progress">
      <formula>NOT(ISERROR(SEARCH("In Progress",D1)))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_x000a_" xr:uid="{BA437ABB-A94D-43F5-8F94-CBC0657F53BC}">
          <x14:formula1>
            <xm:f>Playlist!$J$2:$J$5</xm:f>
          </x14:formula1>
          <xm:sqref>D2:D53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3646-4D62-4718-8276-E5E16632D634}">
  <dimension ref="A1:D30"/>
  <sheetViews>
    <sheetView zoomScale="130" zoomScaleNormal="130" workbookViewId="0">
      <selection activeCell="G11" sqref="G11"/>
    </sheetView>
  </sheetViews>
  <sheetFormatPr defaultRowHeight="15" x14ac:dyDescent="0.25"/>
  <cols>
    <col min="1" max="1" width="5.42578125" bestFit="1" customWidth="1"/>
    <col min="2" max="2" width="96.28515625" bestFit="1" customWidth="1"/>
    <col min="3" max="3" width="6" bestFit="1" customWidth="1"/>
    <col min="4" max="4" width="13.7109375" bestFit="1" customWidth="1"/>
  </cols>
  <sheetData>
    <row r="1" spans="1:4" x14ac:dyDescent="0.25">
      <c r="A1" s="5" t="str">
        <f>HYPERLINK(Playlist!D3,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55</v>
      </c>
      <c r="C2" s="2">
        <v>19.7</v>
      </c>
      <c r="D2" s="2" t="s">
        <v>306</v>
      </c>
    </row>
    <row r="3" spans="1:4" x14ac:dyDescent="0.25">
      <c r="A3" s="2">
        <v>2</v>
      </c>
      <c r="B3" s="2" t="s">
        <v>56</v>
      </c>
      <c r="C3" s="2">
        <v>10.5</v>
      </c>
      <c r="D3" s="2" t="s">
        <v>306</v>
      </c>
    </row>
    <row r="4" spans="1:4" x14ac:dyDescent="0.25">
      <c r="A4" s="2">
        <v>3</v>
      </c>
      <c r="B4" s="2" t="s">
        <v>57</v>
      </c>
      <c r="C4" s="2">
        <v>12.9</v>
      </c>
      <c r="D4" s="2" t="s">
        <v>306</v>
      </c>
    </row>
    <row r="5" spans="1:4" x14ac:dyDescent="0.25">
      <c r="A5" s="2">
        <v>4</v>
      </c>
      <c r="B5" s="2" t="s">
        <v>58</v>
      </c>
      <c r="C5" s="2">
        <v>11.8</v>
      </c>
      <c r="D5" s="2" t="s">
        <v>306</v>
      </c>
    </row>
    <row r="6" spans="1:4" x14ac:dyDescent="0.25">
      <c r="A6" s="2">
        <v>5</v>
      </c>
      <c r="B6" s="2" t="s">
        <v>59</v>
      </c>
      <c r="C6" s="2">
        <v>15.8</v>
      </c>
      <c r="D6" s="2" t="s">
        <v>306</v>
      </c>
    </row>
    <row r="7" spans="1:4" x14ac:dyDescent="0.25">
      <c r="A7" s="2">
        <v>6</v>
      </c>
      <c r="B7" s="2" t="s">
        <v>60</v>
      </c>
      <c r="C7" s="2">
        <v>12</v>
      </c>
      <c r="D7" s="2" t="s">
        <v>306</v>
      </c>
    </row>
    <row r="8" spans="1:4" x14ac:dyDescent="0.25">
      <c r="A8" s="2">
        <v>7</v>
      </c>
      <c r="B8" s="2" t="s">
        <v>61</v>
      </c>
      <c r="C8" s="2">
        <v>8.4</v>
      </c>
      <c r="D8" s="2" t="s">
        <v>306</v>
      </c>
    </row>
    <row r="9" spans="1:4" x14ac:dyDescent="0.25">
      <c r="A9" s="2">
        <v>8</v>
      </c>
      <c r="B9" s="2" t="s">
        <v>62</v>
      </c>
      <c r="C9" s="2">
        <v>9.5</v>
      </c>
      <c r="D9" s="2" t="s">
        <v>306</v>
      </c>
    </row>
    <row r="10" spans="1:4" x14ac:dyDescent="0.25">
      <c r="A10" s="2">
        <v>9</v>
      </c>
      <c r="B10" s="2" t="s">
        <v>63</v>
      </c>
      <c r="C10" s="2">
        <v>6.8</v>
      </c>
      <c r="D10" s="2" t="s">
        <v>306</v>
      </c>
    </row>
    <row r="11" spans="1:4" x14ac:dyDescent="0.25">
      <c r="A11" s="2">
        <v>10</v>
      </c>
      <c r="B11" s="2" t="s">
        <v>64</v>
      </c>
      <c r="C11" s="2">
        <v>5</v>
      </c>
      <c r="D11" s="2" t="s">
        <v>306</v>
      </c>
    </row>
    <row r="12" spans="1:4" x14ac:dyDescent="0.25">
      <c r="A12" s="2">
        <v>11</v>
      </c>
      <c r="B12" s="2" t="s">
        <v>65</v>
      </c>
      <c r="C12" s="2">
        <v>4.7</v>
      </c>
      <c r="D12" s="2" t="s">
        <v>306</v>
      </c>
    </row>
    <row r="13" spans="1:4" x14ac:dyDescent="0.25">
      <c r="A13" s="2">
        <v>12</v>
      </c>
      <c r="B13" s="2" t="s">
        <v>66</v>
      </c>
      <c r="C13" s="2">
        <v>4.7</v>
      </c>
      <c r="D13" s="2" t="s">
        <v>306</v>
      </c>
    </row>
    <row r="14" spans="1:4" x14ac:dyDescent="0.25">
      <c r="A14" s="2">
        <v>13</v>
      </c>
      <c r="B14" s="2" t="s">
        <v>67</v>
      </c>
      <c r="C14" s="2">
        <v>11.3</v>
      </c>
      <c r="D14" s="2" t="s">
        <v>306</v>
      </c>
    </row>
    <row r="15" spans="1:4" x14ac:dyDescent="0.25">
      <c r="A15" s="2">
        <v>14</v>
      </c>
      <c r="B15" s="2" t="s">
        <v>68</v>
      </c>
      <c r="C15" s="2">
        <v>11.1</v>
      </c>
      <c r="D15" s="2" t="s">
        <v>306</v>
      </c>
    </row>
    <row r="16" spans="1:4" x14ac:dyDescent="0.25">
      <c r="A16" s="2">
        <v>15</v>
      </c>
      <c r="B16" s="2" t="s">
        <v>69</v>
      </c>
      <c r="C16" s="2">
        <v>16.399999999999999</v>
      </c>
      <c r="D16" s="2" t="s">
        <v>306</v>
      </c>
    </row>
    <row r="17" spans="1:4" x14ac:dyDescent="0.25">
      <c r="A17" s="2">
        <v>16</v>
      </c>
      <c r="B17" s="2" t="s">
        <v>70</v>
      </c>
      <c r="C17" s="2">
        <v>12.9</v>
      </c>
      <c r="D17" s="2" t="s">
        <v>306</v>
      </c>
    </row>
    <row r="18" spans="1:4" x14ac:dyDescent="0.25">
      <c r="A18" s="2">
        <v>17</v>
      </c>
      <c r="B18" s="2" t="s">
        <v>71</v>
      </c>
      <c r="C18" s="2">
        <v>11.3</v>
      </c>
      <c r="D18" s="2" t="s">
        <v>306</v>
      </c>
    </row>
    <row r="19" spans="1:4" x14ac:dyDescent="0.25">
      <c r="A19" s="2">
        <v>18</v>
      </c>
      <c r="B19" s="2" t="s">
        <v>72</v>
      </c>
      <c r="C19" s="2">
        <v>6.8</v>
      </c>
      <c r="D19" s="2" t="s">
        <v>306</v>
      </c>
    </row>
    <row r="20" spans="1:4" x14ac:dyDescent="0.25">
      <c r="A20" s="2">
        <v>19</v>
      </c>
      <c r="B20" s="2" t="s">
        <v>73</v>
      </c>
      <c r="C20" s="2">
        <v>2</v>
      </c>
      <c r="D20" s="2" t="s">
        <v>306</v>
      </c>
    </row>
    <row r="21" spans="1:4" x14ac:dyDescent="0.25">
      <c r="A21" s="2">
        <v>20</v>
      </c>
      <c r="B21" s="2" t="s">
        <v>74</v>
      </c>
      <c r="C21" s="2">
        <v>2.2999999999999998</v>
      </c>
      <c r="D21" s="2" t="s">
        <v>306</v>
      </c>
    </row>
    <row r="22" spans="1:4" x14ac:dyDescent="0.25">
      <c r="A22" s="2">
        <v>21</v>
      </c>
      <c r="B22" s="2" t="s">
        <v>75</v>
      </c>
      <c r="C22" s="2">
        <v>14.8</v>
      </c>
      <c r="D22" s="2" t="s">
        <v>306</v>
      </c>
    </row>
    <row r="23" spans="1:4" x14ac:dyDescent="0.25">
      <c r="A23" s="2">
        <v>22</v>
      </c>
      <c r="B23" s="2" t="s">
        <v>76</v>
      </c>
      <c r="C23" s="2">
        <v>12.1</v>
      </c>
      <c r="D23" s="2" t="s">
        <v>306</v>
      </c>
    </row>
    <row r="24" spans="1:4" x14ac:dyDescent="0.25">
      <c r="A24" s="2">
        <v>23</v>
      </c>
      <c r="B24" s="2" t="s">
        <v>305</v>
      </c>
      <c r="C24" s="2">
        <v>1.1000000000000001</v>
      </c>
      <c r="D24" s="2" t="s">
        <v>306</v>
      </c>
    </row>
    <row r="25" spans="1:4" x14ac:dyDescent="0.25">
      <c r="A25" s="2">
        <v>24</v>
      </c>
      <c r="B25" s="2" t="s">
        <v>77</v>
      </c>
      <c r="C25" s="2">
        <v>16.2</v>
      </c>
      <c r="D25" s="2" t="s">
        <v>306</v>
      </c>
    </row>
    <row r="26" spans="1:4" x14ac:dyDescent="0.25">
      <c r="A26" s="2">
        <v>25</v>
      </c>
      <c r="B26" s="2" t="s">
        <v>78</v>
      </c>
      <c r="C26" s="2">
        <v>8.9</v>
      </c>
      <c r="D26" s="2" t="s">
        <v>306</v>
      </c>
    </row>
    <row r="27" spans="1:4" x14ac:dyDescent="0.25">
      <c r="A27" s="2">
        <v>26</v>
      </c>
      <c r="B27" s="2" t="s">
        <v>79</v>
      </c>
      <c r="C27" s="2">
        <v>10.9</v>
      </c>
      <c r="D27" s="2" t="s">
        <v>306</v>
      </c>
    </row>
    <row r="28" spans="1:4" x14ac:dyDescent="0.25">
      <c r="A28" s="2">
        <v>27</v>
      </c>
      <c r="B28" s="2" t="s">
        <v>80</v>
      </c>
      <c r="C28" s="2">
        <v>12.4</v>
      </c>
      <c r="D28" s="2" t="s">
        <v>306</v>
      </c>
    </row>
    <row r="29" spans="1:4" x14ac:dyDescent="0.25">
      <c r="A29" s="2">
        <v>28</v>
      </c>
      <c r="B29" s="2" t="s">
        <v>81</v>
      </c>
      <c r="C29" s="2">
        <v>9.9</v>
      </c>
      <c r="D29" s="2" t="s">
        <v>306</v>
      </c>
    </row>
    <row r="30" spans="1:4" x14ac:dyDescent="0.25">
      <c r="A30" s="1" t="s">
        <v>288</v>
      </c>
      <c r="B30" s="1"/>
      <c r="C30" s="1">
        <f>SUM(C2:C29)</f>
        <v>282.2</v>
      </c>
      <c r="D30" s="1">
        <f>COUNTIF(Stats!D2:D29,Playlist!$J$5)</f>
        <v>0</v>
      </c>
    </row>
  </sheetData>
  <conditionalFormatting sqref="D2:D29">
    <cfRule type="containsText" dxfId="25" priority="1" operator="containsText" text="Start">
      <formula>NOT(ISERROR(SEARCH("Start",D2)))</formula>
    </cfRule>
    <cfRule type="containsText" dxfId="24" priority="2" operator="containsText" text="Completed">
      <formula>NOT(ISERROR(SEARCH("Completed",D2)))</formula>
    </cfRule>
    <cfRule type="containsText" dxfId="23" priority="3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CA72C6FE-E4A4-4006-8101-C3C1E613C036}">
          <x14:formula1>
            <xm:f>Playlist!$J$2:$J$5</xm:f>
          </x14:formula1>
          <xm:sqref>D2:D29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FC70-AEF8-4F32-A6C4-A57890A18299}">
  <dimension ref="A1:D148"/>
  <sheetViews>
    <sheetView zoomScale="130" zoomScaleNormal="130" workbookViewId="0">
      <selection activeCell="B23" sqref="B23"/>
    </sheetView>
  </sheetViews>
  <sheetFormatPr defaultRowHeight="15" x14ac:dyDescent="0.25"/>
  <cols>
    <col min="1" max="1" width="5.42578125" bestFit="1" customWidth="1"/>
    <col min="2" max="2" width="95.42578125" bestFit="1" customWidth="1"/>
    <col min="3" max="3" width="7" bestFit="1" customWidth="1"/>
    <col min="4" max="4" width="13.7109375" bestFit="1" customWidth="1"/>
  </cols>
  <sheetData>
    <row r="1" spans="1:4" x14ac:dyDescent="0.25">
      <c r="A1" s="5" t="str">
        <f>HYPERLINK(Playlist!D4,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3</v>
      </c>
      <c r="C2" s="2">
        <v>29.2</v>
      </c>
      <c r="D2" s="2" t="s">
        <v>306</v>
      </c>
    </row>
    <row r="3" spans="1:4" x14ac:dyDescent="0.25">
      <c r="A3" s="2">
        <v>2</v>
      </c>
      <c r="B3" s="2" t="s">
        <v>88</v>
      </c>
      <c r="C3" s="2">
        <v>18.899999999999999</v>
      </c>
      <c r="D3" s="2" t="s">
        <v>306</v>
      </c>
    </row>
    <row r="4" spans="1:4" x14ac:dyDescent="0.25">
      <c r="A4" s="2">
        <v>3</v>
      </c>
      <c r="B4" s="2" t="s">
        <v>4</v>
      </c>
      <c r="C4" s="2">
        <v>19.100000000000001</v>
      </c>
      <c r="D4" s="2" t="s">
        <v>306</v>
      </c>
    </row>
    <row r="5" spans="1:4" x14ac:dyDescent="0.25">
      <c r="A5" s="2">
        <v>4</v>
      </c>
      <c r="B5" s="2" t="s">
        <v>5</v>
      </c>
      <c r="C5" s="2">
        <v>5.2</v>
      </c>
      <c r="D5" s="2" t="s">
        <v>306</v>
      </c>
    </row>
    <row r="6" spans="1:4" x14ac:dyDescent="0.25">
      <c r="A6" s="2">
        <v>5</v>
      </c>
      <c r="B6" s="2" t="s">
        <v>6</v>
      </c>
      <c r="C6" s="2">
        <v>21.8</v>
      </c>
      <c r="D6" s="2" t="s">
        <v>306</v>
      </c>
    </row>
    <row r="7" spans="1:4" x14ac:dyDescent="0.25">
      <c r="A7" s="2">
        <v>6</v>
      </c>
      <c r="B7" s="2" t="s">
        <v>7</v>
      </c>
      <c r="C7" s="2">
        <v>16.100000000000001</v>
      </c>
      <c r="D7" s="2" t="s">
        <v>306</v>
      </c>
    </row>
    <row r="8" spans="1:4" x14ac:dyDescent="0.25">
      <c r="A8" s="2">
        <v>7</v>
      </c>
      <c r="B8" s="2" t="s">
        <v>8</v>
      </c>
      <c r="C8" s="2">
        <v>26.7</v>
      </c>
      <c r="D8" s="2" t="s">
        <v>306</v>
      </c>
    </row>
    <row r="9" spans="1:4" x14ac:dyDescent="0.25">
      <c r="A9" s="2">
        <v>8</v>
      </c>
      <c r="B9" s="2" t="s">
        <v>9</v>
      </c>
      <c r="C9" s="2">
        <v>16.8</v>
      </c>
      <c r="D9" s="2" t="s">
        <v>306</v>
      </c>
    </row>
    <row r="10" spans="1:4" x14ac:dyDescent="0.25">
      <c r="A10" s="2">
        <v>9</v>
      </c>
      <c r="B10" s="2" t="s">
        <v>10</v>
      </c>
      <c r="C10" s="2">
        <v>29.5</v>
      </c>
      <c r="D10" s="2" t="s">
        <v>306</v>
      </c>
    </row>
    <row r="11" spans="1:4" x14ac:dyDescent="0.25">
      <c r="A11" s="2">
        <v>10</v>
      </c>
      <c r="B11" s="2" t="s">
        <v>11</v>
      </c>
      <c r="C11" s="2">
        <v>19.5</v>
      </c>
      <c r="D11" s="2" t="s">
        <v>306</v>
      </c>
    </row>
    <row r="12" spans="1:4" x14ac:dyDescent="0.25">
      <c r="A12" s="2">
        <v>11</v>
      </c>
      <c r="B12" s="2" t="s">
        <v>12</v>
      </c>
      <c r="C12" s="2">
        <v>25.9</v>
      </c>
      <c r="D12" s="2" t="s">
        <v>306</v>
      </c>
    </row>
    <row r="13" spans="1:4" x14ac:dyDescent="0.25">
      <c r="A13" s="2">
        <v>12</v>
      </c>
      <c r="B13" s="2" t="s">
        <v>13</v>
      </c>
      <c r="C13" s="2">
        <v>21.7</v>
      </c>
      <c r="D13" s="2" t="s">
        <v>306</v>
      </c>
    </row>
    <row r="14" spans="1:4" x14ac:dyDescent="0.25">
      <c r="A14" s="2">
        <v>13</v>
      </c>
      <c r="B14" s="2" t="s">
        <v>14</v>
      </c>
      <c r="C14" s="2">
        <v>10.9</v>
      </c>
      <c r="D14" s="2" t="s">
        <v>306</v>
      </c>
    </row>
    <row r="15" spans="1:4" x14ac:dyDescent="0.25">
      <c r="A15" s="2">
        <v>14</v>
      </c>
      <c r="B15" s="2" t="s">
        <v>15</v>
      </c>
      <c r="C15" s="2">
        <v>10.1</v>
      </c>
      <c r="D15" s="2" t="s">
        <v>306</v>
      </c>
    </row>
    <row r="16" spans="1:4" x14ac:dyDescent="0.25">
      <c r="A16" s="2">
        <v>15</v>
      </c>
      <c r="B16" s="2" t="s">
        <v>16</v>
      </c>
      <c r="C16" s="2">
        <v>31.8</v>
      </c>
      <c r="D16" s="2" t="s">
        <v>306</v>
      </c>
    </row>
    <row r="17" spans="1:4" x14ac:dyDescent="0.25">
      <c r="A17" s="2">
        <v>16</v>
      </c>
      <c r="B17" s="2" t="s">
        <v>17</v>
      </c>
      <c r="C17" s="2">
        <v>13.7</v>
      </c>
      <c r="D17" s="2" t="s">
        <v>306</v>
      </c>
    </row>
    <row r="18" spans="1:4" x14ac:dyDescent="0.25">
      <c r="A18" s="2">
        <v>17</v>
      </c>
      <c r="B18" s="2" t="s">
        <v>19</v>
      </c>
      <c r="C18" s="2">
        <v>4.8</v>
      </c>
      <c r="D18" s="2" t="s">
        <v>306</v>
      </c>
    </row>
    <row r="19" spans="1:4" x14ac:dyDescent="0.25">
      <c r="A19" s="2">
        <v>18</v>
      </c>
      <c r="B19" s="2" t="s">
        <v>18</v>
      </c>
      <c r="C19" s="2">
        <v>6.1</v>
      </c>
      <c r="D19" s="2" t="s">
        <v>306</v>
      </c>
    </row>
    <row r="20" spans="1:4" x14ac:dyDescent="0.25">
      <c r="A20" s="2">
        <v>19</v>
      </c>
      <c r="B20" s="2" t="s">
        <v>20</v>
      </c>
      <c r="C20" s="2">
        <v>4</v>
      </c>
      <c r="D20" s="2" t="s">
        <v>306</v>
      </c>
    </row>
    <row r="21" spans="1:4" x14ac:dyDescent="0.25">
      <c r="A21" s="2">
        <v>20</v>
      </c>
      <c r="B21" s="2" t="s">
        <v>21</v>
      </c>
      <c r="C21" s="2">
        <v>8.1</v>
      </c>
      <c r="D21" s="2" t="s">
        <v>306</v>
      </c>
    </row>
    <row r="22" spans="1:4" x14ac:dyDescent="0.25">
      <c r="A22" s="2">
        <v>21</v>
      </c>
      <c r="B22" s="2" t="s">
        <v>22</v>
      </c>
      <c r="C22" s="2">
        <v>10.4</v>
      </c>
      <c r="D22" s="2" t="s">
        <v>306</v>
      </c>
    </row>
    <row r="23" spans="1:4" x14ac:dyDescent="0.25">
      <c r="A23" s="2">
        <v>22</v>
      </c>
      <c r="B23" s="2" t="s">
        <v>23</v>
      </c>
      <c r="C23" s="2">
        <v>12</v>
      </c>
      <c r="D23" s="2" t="s">
        <v>306</v>
      </c>
    </row>
    <row r="24" spans="1:4" x14ac:dyDescent="0.25">
      <c r="A24" s="2">
        <v>23</v>
      </c>
      <c r="B24" s="2" t="s">
        <v>24</v>
      </c>
      <c r="C24" s="2">
        <v>5</v>
      </c>
      <c r="D24" s="2" t="s">
        <v>306</v>
      </c>
    </row>
    <row r="25" spans="1:4" x14ac:dyDescent="0.25">
      <c r="A25" s="2">
        <v>24</v>
      </c>
      <c r="B25" s="2" t="s">
        <v>25</v>
      </c>
      <c r="C25" s="2">
        <v>14.5</v>
      </c>
      <c r="D25" s="2" t="s">
        <v>306</v>
      </c>
    </row>
    <row r="26" spans="1:4" x14ac:dyDescent="0.25">
      <c r="A26" s="2">
        <v>25</v>
      </c>
      <c r="B26" s="2" t="s">
        <v>26</v>
      </c>
      <c r="C26" s="2">
        <v>20.5</v>
      </c>
      <c r="D26" s="2" t="s">
        <v>306</v>
      </c>
    </row>
    <row r="27" spans="1:4" x14ac:dyDescent="0.25">
      <c r="A27" s="2">
        <v>26</v>
      </c>
      <c r="B27" s="2" t="s">
        <v>27</v>
      </c>
      <c r="C27" s="2">
        <v>9</v>
      </c>
      <c r="D27" s="2" t="s">
        <v>306</v>
      </c>
    </row>
    <row r="28" spans="1:4" x14ac:dyDescent="0.25">
      <c r="A28" s="2">
        <v>27</v>
      </c>
      <c r="B28" s="2" t="s">
        <v>89</v>
      </c>
      <c r="C28" s="2">
        <v>14.9</v>
      </c>
      <c r="D28" s="2" t="s">
        <v>306</v>
      </c>
    </row>
    <row r="29" spans="1:4" x14ac:dyDescent="0.25">
      <c r="A29" s="2">
        <v>28</v>
      </c>
      <c r="B29" s="2" t="s">
        <v>28</v>
      </c>
      <c r="C29" s="2">
        <v>11.7</v>
      </c>
      <c r="D29" s="2" t="s">
        <v>306</v>
      </c>
    </row>
    <row r="30" spans="1:4" x14ac:dyDescent="0.25">
      <c r="A30" s="2">
        <v>29</v>
      </c>
      <c r="B30" s="2" t="s">
        <v>90</v>
      </c>
      <c r="C30" s="2">
        <v>13.2</v>
      </c>
      <c r="D30" s="2" t="s">
        <v>306</v>
      </c>
    </row>
    <row r="31" spans="1:4" x14ac:dyDescent="0.25">
      <c r="A31" s="2">
        <v>30</v>
      </c>
      <c r="B31" s="2" t="s">
        <v>91</v>
      </c>
      <c r="C31" s="2">
        <v>15.9</v>
      </c>
      <c r="D31" s="2" t="s">
        <v>306</v>
      </c>
    </row>
    <row r="32" spans="1:4" x14ac:dyDescent="0.25">
      <c r="A32" s="2">
        <v>31</v>
      </c>
      <c r="B32" s="2" t="s">
        <v>92</v>
      </c>
      <c r="C32" s="2">
        <v>4.7</v>
      </c>
      <c r="D32" s="2" t="s">
        <v>306</v>
      </c>
    </row>
    <row r="33" spans="1:4" x14ac:dyDescent="0.25">
      <c r="A33" s="2">
        <v>32</v>
      </c>
      <c r="B33" s="2" t="s">
        <v>93</v>
      </c>
      <c r="C33" s="2">
        <v>12</v>
      </c>
      <c r="D33" s="2" t="s">
        <v>306</v>
      </c>
    </row>
    <row r="34" spans="1:4" x14ac:dyDescent="0.25">
      <c r="A34" s="2">
        <v>33</v>
      </c>
      <c r="B34" s="2" t="s">
        <v>94</v>
      </c>
      <c r="C34" s="2">
        <v>7.9</v>
      </c>
      <c r="D34" s="2" t="s">
        <v>306</v>
      </c>
    </row>
    <row r="35" spans="1:4" x14ac:dyDescent="0.25">
      <c r="A35" s="2">
        <v>34</v>
      </c>
      <c r="B35" s="2" t="s">
        <v>95</v>
      </c>
      <c r="C35" s="2">
        <v>24.2</v>
      </c>
      <c r="D35" s="2" t="s">
        <v>306</v>
      </c>
    </row>
    <row r="36" spans="1:4" x14ac:dyDescent="0.25">
      <c r="A36" s="2">
        <v>35</v>
      </c>
      <c r="B36" s="2" t="s">
        <v>96</v>
      </c>
      <c r="C36" s="2">
        <v>20.3</v>
      </c>
      <c r="D36" s="2" t="s">
        <v>306</v>
      </c>
    </row>
    <row r="37" spans="1:4" x14ac:dyDescent="0.25">
      <c r="A37" s="2">
        <v>36</v>
      </c>
      <c r="B37" s="2" t="s">
        <v>97</v>
      </c>
      <c r="C37" s="2">
        <v>9.8000000000000007</v>
      </c>
      <c r="D37" s="2" t="s">
        <v>306</v>
      </c>
    </row>
    <row r="38" spans="1:4" x14ac:dyDescent="0.25">
      <c r="A38" s="2">
        <v>37</v>
      </c>
      <c r="B38" s="2" t="s">
        <v>98</v>
      </c>
      <c r="C38" s="2">
        <v>19.8</v>
      </c>
      <c r="D38" s="2" t="s">
        <v>306</v>
      </c>
    </row>
    <row r="39" spans="1:4" x14ac:dyDescent="0.25">
      <c r="A39" s="2">
        <v>38</v>
      </c>
      <c r="B39" s="2" t="s">
        <v>99</v>
      </c>
      <c r="C39" s="2">
        <v>16</v>
      </c>
      <c r="D39" s="2" t="s">
        <v>306</v>
      </c>
    </row>
    <row r="40" spans="1:4" x14ac:dyDescent="0.25">
      <c r="A40" s="2">
        <v>39</v>
      </c>
      <c r="B40" s="2" t="s">
        <v>100</v>
      </c>
      <c r="C40" s="2">
        <v>16.899999999999999</v>
      </c>
      <c r="D40" s="2" t="s">
        <v>306</v>
      </c>
    </row>
    <row r="41" spans="1:4" x14ac:dyDescent="0.25">
      <c r="A41" s="2">
        <v>40</v>
      </c>
      <c r="B41" s="2" t="s">
        <v>101</v>
      </c>
      <c r="C41" s="2">
        <v>17.3</v>
      </c>
      <c r="D41" s="2" t="s">
        <v>306</v>
      </c>
    </row>
    <row r="42" spans="1:4" x14ac:dyDescent="0.25">
      <c r="A42" s="2">
        <v>41</v>
      </c>
      <c r="B42" s="2" t="s">
        <v>102</v>
      </c>
      <c r="C42" s="2">
        <v>11.8</v>
      </c>
      <c r="D42" s="2" t="s">
        <v>306</v>
      </c>
    </row>
    <row r="43" spans="1:4" x14ac:dyDescent="0.25">
      <c r="A43" s="2">
        <v>42</v>
      </c>
      <c r="B43" s="2" t="s">
        <v>71</v>
      </c>
      <c r="C43" s="2">
        <v>11.3</v>
      </c>
      <c r="D43" s="2" t="s">
        <v>306</v>
      </c>
    </row>
    <row r="44" spans="1:4" x14ac:dyDescent="0.25">
      <c r="A44" s="2">
        <v>43</v>
      </c>
      <c r="B44" s="2" t="s">
        <v>103</v>
      </c>
      <c r="C44" s="2">
        <v>12</v>
      </c>
      <c r="D44" s="2" t="s">
        <v>306</v>
      </c>
    </row>
    <row r="45" spans="1:4" x14ac:dyDescent="0.25">
      <c r="A45" s="2">
        <v>44</v>
      </c>
      <c r="B45" s="2" t="s">
        <v>104</v>
      </c>
      <c r="C45" s="2">
        <v>20</v>
      </c>
      <c r="D45" s="2" t="s">
        <v>306</v>
      </c>
    </row>
    <row r="46" spans="1:4" x14ac:dyDescent="0.25">
      <c r="A46" s="2">
        <v>45</v>
      </c>
      <c r="B46" s="2" t="s">
        <v>105</v>
      </c>
      <c r="C46" s="2">
        <v>14.1</v>
      </c>
      <c r="D46" s="2" t="s">
        <v>306</v>
      </c>
    </row>
    <row r="47" spans="1:4" x14ac:dyDescent="0.25">
      <c r="A47" s="2">
        <v>46</v>
      </c>
      <c r="B47" s="2" t="s">
        <v>106</v>
      </c>
      <c r="C47" s="2">
        <v>24.2</v>
      </c>
      <c r="D47" s="2" t="s">
        <v>306</v>
      </c>
    </row>
    <row r="48" spans="1:4" x14ac:dyDescent="0.25">
      <c r="A48" s="2">
        <v>47</v>
      </c>
      <c r="B48" s="2" t="s">
        <v>107</v>
      </c>
      <c r="C48" s="2">
        <v>12.7</v>
      </c>
      <c r="D48" s="2" t="s">
        <v>306</v>
      </c>
    </row>
    <row r="49" spans="1:4" x14ac:dyDescent="0.25">
      <c r="A49" s="2">
        <v>48</v>
      </c>
      <c r="B49" s="2" t="s">
        <v>108</v>
      </c>
      <c r="C49" s="2">
        <v>28.3</v>
      </c>
      <c r="D49" s="2" t="s">
        <v>306</v>
      </c>
    </row>
    <row r="50" spans="1:4" x14ac:dyDescent="0.25">
      <c r="A50" s="2">
        <v>49</v>
      </c>
      <c r="B50" s="2" t="s">
        <v>109</v>
      </c>
      <c r="C50" s="2">
        <v>6.7</v>
      </c>
      <c r="D50" s="2" t="s">
        <v>306</v>
      </c>
    </row>
    <row r="51" spans="1:4" x14ac:dyDescent="0.25">
      <c r="A51" s="2">
        <v>50</v>
      </c>
      <c r="B51" s="2" t="s">
        <v>110</v>
      </c>
      <c r="C51" s="2">
        <v>9</v>
      </c>
      <c r="D51" s="2" t="s">
        <v>306</v>
      </c>
    </row>
    <row r="52" spans="1:4" x14ac:dyDescent="0.25">
      <c r="A52" s="2">
        <v>51</v>
      </c>
      <c r="B52" s="2" t="s">
        <v>111</v>
      </c>
      <c r="C52" s="2">
        <v>12.7</v>
      </c>
      <c r="D52" s="2" t="s">
        <v>306</v>
      </c>
    </row>
    <row r="53" spans="1:4" x14ac:dyDescent="0.25">
      <c r="A53" s="2">
        <v>52</v>
      </c>
      <c r="B53" s="2" t="s">
        <v>112</v>
      </c>
      <c r="C53" s="2">
        <v>11.2</v>
      </c>
      <c r="D53" s="2" t="s">
        <v>306</v>
      </c>
    </row>
    <row r="54" spans="1:4" x14ac:dyDescent="0.25">
      <c r="A54" s="2">
        <v>53</v>
      </c>
      <c r="B54" s="2" t="s">
        <v>113</v>
      </c>
      <c r="C54" s="2">
        <v>6.2</v>
      </c>
      <c r="D54" s="2" t="s">
        <v>306</v>
      </c>
    </row>
    <row r="55" spans="1:4" x14ac:dyDescent="0.25">
      <c r="A55" s="2">
        <v>54</v>
      </c>
      <c r="B55" s="2" t="s">
        <v>41</v>
      </c>
      <c r="C55" s="2">
        <v>23.5</v>
      </c>
      <c r="D55" s="2" t="s">
        <v>306</v>
      </c>
    </row>
    <row r="56" spans="1:4" x14ac:dyDescent="0.25">
      <c r="A56" s="2">
        <v>55</v>
      </c>
      <c r="B56" s="2" t="s">
        <v>42</v>
      </c>
      <c r="C56" s="2">
        <v>19.8</v>
      </c>
      <c r="D56" s="2" t="s">
        <v>306</v>
      </c>
    </row>
    <row r="57" spans="1:4" x14ac:dyDescent="0.25">
      <c r="A57" s="2">
        <v>56</v>
      </c>
      <c r="B57" s="2" t="s">
        <v>43</v>
      </c>
      <c r="C57" s="2">
        <v>14.2</v>
      </c>
      <c r="D57" s="2" t="s">
        <v>306</v>
      </c>
    </row>
    <row r="58" spans="1:4" x14ac:dyDescent="0.25">
      <c r="A58" s="2">
        <v>57</v>
      </c>
      <c r="B58" s="2" t="s">
        <v>44</v>
      </c>
      <c r="C58" s="2">
        <v>13.9</v>
      </c>
      <c r="D58" s="2" t="s">
        <v>306</v>
      </c>
    </row>
    <row r="59" spans="1:4" x14ac:dyDescent="0.25">
      <c r="A59" s="2">
        <v>58</v>
      </c>
      <c r="B59" s="2" t="s">
        <v>45</v>
      </c>
      <c r="C59" s="2">
        <v>8.1</v>
      </c>
      <c r="D59" s="2" t="s">
        <v>306</v>
      </c>
    </row>
    <row r="60" spans="1:4" x14ac:dyDescent="0.25">
      <c r="A60" s="2">
        <v>59</v>
      </c>
      <c r="B60" s="2" t="s">
        <v>114</v>
      </c>
      <c r="C60" s="2">
        <v>9.8000000000000007</v>
      </c>
      <c r="D60" s="2" t="s">
        <v>306</v>
      </c>
    </row>
    <row r="61" spans="1:4" x14ac:dyDescent="0.25">
      <c r="A61" s="2">
        <v>60</v>
      </c>
      <c r="B61" s="2" t="s">
        <v>115</v>
      </c>
      <c r="C61" s="2">
        <v>6</v>
      </c>
      <c r="D61" s="2" t="s">
        <v>306</v>
      </c>
    </row>
    <row r="62" spans="1:4" x14ac:dyDescent="0.25">
      <c r="A62" s="2">
        <v>61</v>
      </c>
      <c r="B62" s="2" t="s">
        <v>116</v>
      </c>
      <c r="C62" s="2">
        <v>20.100000000000001</v>
      </c>
      <c r="D62" s="2" t="s">
        <v>306</v>
      </c>
    </row>
    <row r="63" spans="1:4" x14ac:dyDescent="0.25">
      <c r="A63" s="2">
        <v>62</v>
      </c>
      <c r="B63" s="2" t="s">
        <v>117</v>
      </c>
      <c r="C63" s="2">
        <v>18</v>
      </c>
      <c r="D63" s="2" t="s">
        <v>306</v>
      </c>
    </row>
    <row r="64" spans="1:4" x14ac:dyDescent="0.25">
      <c r="A64" s="2">
        <v>63</v>
      </c>
      <c r="B64" s="2" t="s">
        <v>118</v>
      </c>
      <c r="C64" s="2">
        <v>6.5</v>
      </c>
      <c r="D64" s="2" t="s">
        <v>306</v>
      </c>
    </row>
    <row r="65" spans="1:4" x14ac:dyDescent="0.25">
      <c r="A65" s="2">
        <v>64</v>
      </c>
      <c r="B65" s="2" t="s">
        <v>119</v>
      </c>
      <c r="C65" s="2">
        <v>10.3</v>
      </c>
      <c r="D65" s="2" t="s">
        <v>306</v>
      </c>
    </row>
    <row r="66" spans="1:4" x14ac:dyDescent="0.25">
      <c r="A66" s="2">
        <v>65</v>
      </c>
      <c r="B66" s="2" t="s">
        <v>120</v>
      </c>
      <c r="C66" s="2">
        <v>13</v>
      </c>
      <c r="D66" s="2" t="s">
        <v>306</v>
      </c>
    </row>
    <row r="67" spans="1:4" x14ac:dyDescent="0.25">
      <c r="A67" s="2">
        <v>66</v>
      </c>
      <c r="B67" s="2" t="s">
        <v>121</v>
      </c>
      <c r="C67" s="2">
        <v>11</v>
      </c>
      <c r="D67" s="2" t="s">
        <v>306</v>
      </c>
    </row>
    <row r="68" spans="1:4" x14ac:dyDescent="0.25">
      <c r="A68" s="2">
        <v>67</v>
      </c>
      <c r="B68" s="2" t="s">
        <v>122</v>
      </c>
      <c r="C68" s="2">
        <v>14.9</v>
      </c>
      <c r="D68" s="2" t="s">
        <v>306</v>
      </c>
    </row>
    <row r="69" spans="1:4" x14ac:dyDescent="0.25">
      <c r="A69" s="2">
        <v>68</v>
      </c>
      <c r="B69" s="2" t="s">
        <v>123</v>
      </c>
      <c r="C69" s="2">
        <v>14.1</v>
      </c>
      <c r="D69" s="2" t="s">
        <v>306</v>
      </c>
    </row>
    <row r="70" spans="1:4" x14ac:dyDescent="0.25">
      <c r="A70" s="2">
        <v>69</v>
      </c>
      <c r="B70" s="2" t="s">
        <v>124</v>
      </c>
      <c r="C70" s="2">
        <v>17.399999999999999</v>
      </c>
      <c r="D70" s="2" t="s">
        <v>306</v>
      </c>
    </row>
    <row r="71" spans="1:4" x14ac:dyDescent="0.25">
      <c r="A71" s="2">
        <v>70</v>
      </c>
      <c r="B71" s="2" t="s">
        <v>125</v>
      </c>
      <c r="C71" s="2">
        <v>8.8000000000000007</v>
      </c>
      <c r="D71" s="2" t="s">
        <v>306</v>
      </c>
    </row>
    <row r="72" spans="1:4" x14ac:dyDescent="0.25">
      <c r="A72" s="2">
        <v>71</v>
      </c>
      <c r="B72" s="2" t="s">
        <v>126</v>
      </c>
      <c r="C72" s="2">
        <v>14.6</v>
      </c>
      <c r="D72" s="2" t="s">
        <v>306</v>
      </c>
    </row>
    <row r="73" spans="1:4" x14ac:dyDescent="0.25">
      <c r="A73" s="2">
        <v>72</v>
      </c>
      <c r="B73" s="2" t="s">
        <v>127</v>
      </c>
      <c r="C73" s="2">
        <v>6.2</v>
      </c>
      <c r="D73" s="2" t="s">
        <v>306</v>
      </c>
    </row>
    <row r="74" spans="1:4" x14ac:dyDescent="0.25">
      <c r="A74" s="2">
        <v>73</v>
      </c>
      <c r="B74" s="2" t="s">
        <v>128</v>
      </c>
      <c r="C74" s="2">
        <v>18.5</v>
      </c>
      <c r="D74" s="2" t="s">
        <v>306</v>
      </c>
    </row>
    <row r="75" spans="1:4" x14ac:dyDescent="0.25">
      <c r="A75" s="2">
        <v>74</v>
      </c>
      <c r="B75" s="2" t="s">
        <v>129</v>
      </c>
      <c r="C75" s="2">
        <v>20.100000000000001</v>
      </c>
      <c r="D75" s="2" t="s">
        <v>306</v>
      </c>
    </row>
    <row r="76" spans="1:4" x14ac:dyDescent="0.25">
      <c r="A76" s="2">
        <v>75</v>
      </c>
      <c r="B76" s="2" t="s">
        <v>130</v>
      </c>
      <c r="C76" s="2">
        <v>7.6</v>
      </c>
      <c r="D76" s="2" t="s">
        <v>306</v>
      </c>
    </row>
    <row r="77" spans="1:4" x14ac:dyDescent="0.25">
      <c r="A77" s="2">
        <v>76</v>
      </c>
      <c r="B77" s="2" t="s">
        <v>131</v>
      </c>
      <c r="C77" s="2">
        <v>19.100000000000001</v>
      </c>
      <c r="D77" s="2" t="s">
        <v>306</v>
      </c>
    </row>
    <row r="78" spans="1:4" x14ac:dyDescent="0.25">
      <c r="A78" s="2">
        <v>77</v>
      </c>
      <c r="B78" s="2" t="s">
        <v>132</v>
      </c>
      <c r="C78" s="2">
        <v>12.5</v>
      </c>
      <c r="D78" s="2" t="s">
        <v>306</v>
      </c>
    </row>
    <row r="79" spans="1:4" x14ac:dyDescent="0.25">
      <c r="A79" s="2">
        <v>78</v>
      </c>
      <c r="B79" s="2" t="s">
        <v>133</v>
      </c>
      <c r="C79" s="2">
        <v>18.3</v>
      </c>
      <c r="D79" s="2" t="s">
        <v>306</v>
      </c>
    </row>
    <row r="80" spans="1:4" x14ac:dyDescent="0.25">
      <c r="A80" s="2">
        <v>79</v>
      </c>
      <c r="B80" s="2" t="s">
        <v>134</v>
      </c>
      <c r="C80" s="2">
        <v>15.2</v>
      </c>
      <c r="D80" s="2" t="s">
        <v>306</v>
      </c>
    </row>
    <row r="81" spans="1:4" x14ac:dyDescent="0.25">
      <c r="A81" s="2">
        <v>80</v>
      </c>
      <c r="B81" s="2" t="s">
        <v>135</v>
      </c>
      <c r="C81" s="2">
        <v>11</v>
      </c>
      <c r="D81" s="2" t="s">
        <v>306</v>
      </c>
    </row>
    <row r="82" spans="1:4" x14ac:dyDescent="0.25">
      <c r="A82" s="2">
        <v>81</v>
      </c>
      <c r="B82" s="2" t="s">
        <v>136</v>
      </c>
      <c r="C82" s="2">
        <v>15.9</v>
      </c>
      <c r="D82" s="2" t="s">
        <v>306</v>
      </c>
    </row>
    <row r="83" spans="1:4" x14ac:dyDescent="0.25">
      <c r="A83" s="2">
        <v>82</v>
      </c>
      <c r="B83" s="2" t="s">
        <v>137</v>
      </c>
      <c r="C83" s="2">
        <v>13.2</v>
      </c>
      <c r="D83" s="2" t="s">
        <v>306</v>
      </c>
    </row>
    <row r="84" spans="1:4" x14ac:dyDescent="0.25">
      <c r="A84" s="2">
        <v>83</v>
      </c>
      <c r="B84" s="2" t="s">
        <v>138</v>
      </c>
      <c r="C84" s="2">
        <v>12.8</v>
      </c>
      <c r="D84" s="2" t="s">
        <v>306</v>
      </c>
    </row>
    <row r="85" spans="1:4" x14ac:dyDescent="0.25">
      <c r="A85" s="2">
        <v>84</v>
      </c>
      <c r="B85" s="2" t="s">
        <v>139</v>
      </c>
      <c r="C85" s="2">
        <v>23.5</v>
      </c>
      <c r="D85" s="2" t="s">
        <v>306</v>
      </c>
    </row>
    <row r="86" spans="1:4" x14ac:dyDescent="0.25">
      <c r="A86" s="2">
        <v>85</v>
      </c>
      <c r="B86" s="2" t="s">
        <v>140</v>
      </c>
      <c r="C86" s="2">
        <v>20.7</v>
      </c>
      <c r="D86" s="2" t="s">
        <v>306</v>
      </c>
    </row>
    <row r="87" spans="1:4" x14ac:dyDescent="0.25">
      <c r="A87" s="2">
        <v>86</v>
      </c>
      <c r="B87" s="2" t="s">
        <v>141</v>
      </c>
      <c r="C87" s="2">
        <v>11.3</v>
      </c>
      <c r="D87" s="2" t="s">
        <v>306</v>
      </c>
    </row>
    <row r="88" spans="1:4" x14ac:dyDescent="0.25">
      <c r="A88" s="2">
        <v>87</v>
      </c>
      <c r="B88" s="2" t="s">
        <v>142</v>
      </c>
      <c r="C88" s="2">
        <v>17.8</v>
      </c>
      <c r="D88" s="2" t="s">
        <v>306</v>
      </c>
    </row>
    <row r="89" spans="1:4" x14ac:dyDescent="0.25">
      <c r="A89" s="2">
        <v>88</v>
      </c>
      <c r="B89" s="2" t="s">
        <v>143</v>
      </c>
      <c r="C89" s="2">
        <v>24</v>
      </c>
      <c r="D89" s="2" t="s">
        <v>306</v>
      </c>
    </row>
    <row r="90" spans="1:4" x14ac:dyDescent="0.25">
      <c r="A90" s="2">
        <v>89</v>
      </c>
      <c r="B90" s="2" t="s">
        <v>144</v>
      </c>
      <c r="C90" s="2">
        <v>19.5</v>
      </c>
      <c r="D90" s="2" t="s">
        <v>306</v>
      </c>
    </row>
    <row r="91" spans="1:4" x14ac:dyDescent="0.25">
      <c r="A91" s="2">
        <v>90</v>
      </c>
      <c r="B91" s="2" t="s">
        <v>145</v>
      </c>
      <c r="C91" s="2">
        <v>15.7</v>
      </c>
      <c r="D91" s="2" t="s">
        <v>306</v>
      </c>
    </row>
    <row r="92" spans="1:4" x14ac:dyDescent="0.25">
      <c r="A92" s="2">
        <v>91</v>
      </c>
      <c r="B92" s="2" t="s">
        <v>146</v>
      </c>
      <c r="C92" s="2">
        <v>17.3</v>
      </c>
      <c r="D92" s="2" t="s">
        <v>306</v>
      </c>
    </row>
    <row r="93" spans="1:4" x14ac:dyDescent="0.25">
      <c r="A93" s="2">
        <v>92</v>
      </c>
      <c r="B93" s="2" t="s">
        <v>147</v>
      </c>
      <c r="C93" s="2">
        <v>10.8</v>
      </c>
      <c r="D93" s="2" t="s">
        <v>306</v>
      </c>
    </row>
    <row r="94" spans="1:4" x14ac:dyDescent="0.25">
      <c r="A94" s="2">
        <v>93</v>
      </c>
      <c r="B94" s="2" t="s">
        <v>148</v>
      </c>
      <c r="C94" s="2">
        <v>12.9</v>
      </c>
      <c r="D94" s="2" t="s">
        <v>306</v>
      </c>
    </row>
    <row r="95" spans="1:4" x14ac:dyDescent="0.25">
      <c r="A95" s="2">
        <v>94</v>
      </c>
      <c r="B95" s="2" t="s">
        <v>149</v>
      </c>
      <c r="C95" s="2">
        <v>18.600000000000001</v>
      </c>
      <c r="D95" s="2" t="s">
        <v>306</v>
      </c>
    </row>
    <row r="96" spans="1:4" x14ac:dyDescent="0.25">
      <c r="A96" s="2">
        <v>95</v>
      </c>
      <c r="B96" s="2" t="s">
        <v>150</v>
      </c>
      <c r="C96" s="2">
        <v>13.2</v>
      </c>
      <c r="D96" s="2" t="s">
        <v>306</v>
      </c>
    </row>
    <row r="97" spans="1:4" x14ac:dyDescent="0.25">
      <c r="A97" s="2">
        <v>96</v>
      </c>
      <c r="B97" s="2" t="s">
        <v>151</v>
      </c>
      <c r="C97" s="2">
        <v>19.5</v>
      </c>
      <c r="D97" s="2" t="s">
        <v>306</v>
      </c>
    </row>
    <row r="98" spans="1:4" x14ac:dyDescent="0.25">
      <c r="A98" s="2">
        <v>97</v>
      </c>
      <c r="B98" s="2" t="s">
        <v>152</v>
      </c>
      <c r="C98" s="2">
        <v>12.9</v>
      </c>
      <c r="D98" s="2" t="s">
        <v>306</v>
      </c>
    </row>
    <row r="99" spans="1:4" x14ac:dyDescent="0.25">
      <c r="A99" s="2">
        <v>98</v>
      </c>
      <c r="B99" s="2" t="s">
        <v>289</v>
      </c>
      <c r="C99" s="2">
        <v>13.8</v>
      </c>
      <c r="D99" s="2" t="s">
        <v>306</v>
      </c>
    </row>
    <row r="100" spans="1:4" x14ac:dyDescent="0.25">
      <c r="A100" s="2">
        <v>99</v>
      </c>
      <c r="B100" s="2" t="s">
        <v>290</v>
      </c>
      <c r="C100" s="2">
        <v>11.8</v>
      </c>
      <c r="D100" s="2" t="s">
        <v>306</v>
      </c>
    </row>
    <row r="101" spans="1:4" x14ac:dyDescent="0.25">
      <c r="A101" s="2">
        <v>100</v>
      </c>
      <c r="B101" s="2" t="s">
        <v>291</v>
      </c>
      <c r="C101" s="2">
        <v>7.7</v>
      </c>
      <c r="D101" s="2" t="s">
        <v>306</v>
      </c>
    </row>
    <row r="102" spans="1:4" x14ac:dyDescent="0.25">
      <c r="A102" s="2">
        <v>101</v>
      </c>
      <c r="B102" s="2" t="s">
        <v>153</v>
      </c>
      <c r="C102" s="2">
        <v>16.899999999999999</v>
      </c>
      <c r="D102" s="2" t="s">
        <v>306</v>
      </c>
    </row>
    <row r="103" spans="1:4" x14ac:dyDescent="0.25">
      <c r="A103" s="2">
        <v>102</v>
      </c>
      <c r="B103" s="2" t="s">
        <v>154</v>
      </c>
      <c r="C103" s="2">
        <v>4.5999999999999996</v>
      </c>
      <c r="D103" s="2" t="s">
        <v>306</v>
      </c>
    </row>
    <row r="104" spans="1:4" x14ac:dyDescent="0.25">
      <c r="A104" s="2">
        <v>103</v>
      </c>
      <c r="B104" s="2" t="s">
        <v>155</v>
      </c>
      <c r="C104" s="2">
        <v>16.399999999999999</v>
      </c>
      <c r="D104" s="2" t="s">
        <v>306</v>
      </c>
    </row>
    <row r="105" spans="1:4" x14ac:dyDescent="0.25">
      <c r="A105" s="2">
        <v>104</v>
      </c>
      <c r="B105" s="2" t="s">
        <v>156</v>
      </c>
      <c r="C105" s="2">
        <v>14.7</v>
      </c>
      <c r="D105" s="2" t="s">
        <v>306</v>
      </c>
    </row>
    <row r="106" spans="1:4" x14ac:dyDescent="0.25">
      <c r="A106" s="2">
        <v>105</v>
      </c>
      <c r="B106" s="2" t="s">
        <v>157</v>
      </c>
      <c r="C106" s="2">
        <v>14.1</v>
      </c>
      <c r="D106" s="2" t="s">
        <v>306</v>
      </c>
    </row>
    <row r="107" spans="1:4" x14ac:dyDescent="0.25">
      <c r="A107" s="2">
        <v>106</v>
      </c>
      <c r="B107" s="2" t="s">
        <v>158</v>
      </c>
      <c r="C107" s="2">
        <v>8</v>
      </c>
      <c r="D107" s="2" t="s">
        <v>306</v>
      </c>
    </row>
    <row r="108" spans="1:4" x14ac:dyDescent="0.25">
      <c r="A108" s="2">
        <v>107</v>
      </c>
      <c r="B108" s="2" t="s">
        <v>159</v>
      </c>
      <c r="C108" s="2">
        <v>11.5</v>
      </c>
      <c r="D108" s="2" t="s">
        <v>306</v>
      </c>
    </row>
    <row r="109" spans="1:4" x14ac:dyDescent="0.25">
      <c r="A109" s="2">
        <v>108</v>
      </c>
      <c r="B109" s="2" t="s">
        <v>160</v>
      </c>
      <c r="C109" s="2">
        <v>7.8</v>
      </c>
      <c r="D109" s="2" t="s">
        <v>306</v>
      </c>
    </row>
    <row r="110" spans="1:4" x14ac:dyDescent="0.25">
      <c r="A110" s="2">
        <v>109</v>
      </c>
      <c r="B110" s="2" t="s">
        <v>161</v>
      </c>
      <c r="C110" s="2">
        <v>14.2</v>
      </c>
      <c r="D110" s="2" t="s">
        <v>306</v>
      </c>
    </row>
    <row r="111" spans="1:4" x14ac:dyDescent="0.25">
      <c r="A111" s="2">
        <v>110</v>
      </c>
      <c r="B111" s="2" t="s">
        <v>162</v>
      </c>
      <c r="C111" s="2">
        <v>8.4</v>
      </c>
      <c r="D111" s="2" t="s">
        <v>306</v>
      </c>
    </row>
    <row r="112" spans="1:4" x14ac:dyDescent="0.25">
      <c r="A112" s="2">
        <v>111</v>
      </c>
      <c r="B112" s="2" t="s">
        <v>163</v>
      </c>
      <c r="C112" s="2">
        <v>7.8</v>
      </c>
      <c r="D112" s="2" t="s">
        <v>306</v>
      </c>
    </row>
    <row r="113" spans="1:4" x14ac:dyDescent="0.25">
      <c r="A113" s="2">
        <v>112</v>
      </c>
      <c r="B113" s="2" t="s">
        <v>164</v>
      </c>
      <c r="C113" s="2">
        <v>13.1</v>
      </c>
      <c r="D113" s="2" t="s">
        <v>306</v>
      </c>
    </row>
    <row r="114" spans="1:4" x14ac:dyDescent="0.25">
      <c r="A114" s="2">
        <v>113</v>
      </c>
      <c r="B114" s="2" t="s">
        <v>29</v>
      </c>
      <c r="C114" s="2">
        <v>10.1</v>
      </c>
      <c r="D114" s="2" t="s">
        <v>306</v>
      </c>
    </row>
    <row r="115" spans="1:4" x14ac:dyDescent="0.25">
      <c r="A115" s="2">
        <v>114</v>
      </c>
      <c r="B115" s="2" t="s">
        <v>30</v>
      </c>
      <c r="C115" s="2">
        <v>6.1</v>
      </c>
      <c r="D115" s="2" t="s">
        <v>306</v>
      </c>
    </row>
    <row r="116" spans="1:4" x14ac:dyDescent="0.25">
      <c r="A116" s="2">
        <v>115</v>
      </c>
      <c r="B116" s="2" t="s">
        <v>36</v>
      </c>
      <c r="C116" s="2">
        <v>12.1</v>
      </c>
      <c r="D116" s="2" t="s">
        <v>306</v>
      </c>
    </row>
    <row r="117" spans="1:4" x14ac:dyDescent="0.25">
      <c r="A117" s="2">
        <v>116</v>
      </c>
      <c r="B117" s="2" t="s">
        <v>165</v>
      </c>
      <c r="C117" s="2">
        <v>8.9</v>
      </c>
      <c r="D117" s="2" t="s">
        <v>306</v>
      </c>
    </row>
    <row r="118" spans="1:4" x14ac:dyDescent="0.25">
      <c r="A118" s="2">
        <v>117</v>
      </c>
      <c r="B118" s="2" t="s">
        <v>166</v>
      </c>
      <c r="C118" s="2">
        <v>6.6</v>
      </c>
      <c r="D118" s="2" t="s">
        <v>306</v>
      </c>
    </row>
    <row r="119" spans="1:4" x14ac:dyDescent="0.25">
      <c r="A119" s="2">
        <v>118</v>
      </c>
      <c r="B119" s="2" t="s">
        <v>167</v>
      </c>
      <c r="C119" s="2">
        <v>12.2</v>
      </c>
      <c r="D119" s="2" t="s">
        <v>306</v>
      </c>
    </row>
    <row r="120" spans="1:4" x14ac:dyDescent="0.25">
      <c r="A120" s="2">
        <v>119</v>
      </c>
      <c r="B120" s="2" t="s">
        <v>168</v>
      </c>
      <c r="C120" s="2">
        <v>8.3000000000000007</v>
      </c>
      <c r="D120" s="2" t="s">
        <v>306</v>
      </c>
    </row>
    <row r="121" spans="1:4" x14ac:dyDescent="0.25">
      <c r="A121" s="2">
        <v>120</v>
      </c>
      <c r="B121" s="2" t="s">
        <v>169</v>
      </c>
      <c r="C121" s="2">
        <v>14.7</v>
      </c>
      <c r="D121" s="2" t="s">
        <v>306</v>
      </c>
    </row>
    <row r="122" spans="1:4" x14ac:dyDescent="0.25">
      <c r="A122" s="2">
        <v>121</v>
      </c>
      <c r="B122" s="2" t="s">
        <v>170</v>
      </c>
      <c r="C122" s="2">
        <v>10.199999999999999</v>
      </c>
      <c r="D122" s="2" t="s">
        <v>306</v>
      </c>
    </row>
    <row r="123" spans="1:4" x14ac:dyDescent="0.25">
      <c r="A123" s="2">
        <v>122</v>
      </c>
      <c r="B123" s="2" t="s">
        <v>171</v>
      </c>
      <c r="C123" s="2">
        <v>16</v>
      </c>
      <c r="D123" s="2" t="s">
        <v>306</v>
      </c>
    </row>
    <row r="124" spans="1:4" x14ac:dyDescent="0.25">
      <c r="A124" s="2">
        <v>123</v>
      </c>
      <c r="B124" s="2" t="s">
        <v>172</v>
      </c>
      <c r="C124" s="2">
        <v>5.5</v>
      </c>
      <c r="D124" s="2" t="s">
        <v>306</v>
      </c>
    </row>
    <row r="125" spans="1:4" x14ac:dyDescent="0.25">
      <c r="A125" s="2">
        <v>124</v>
      </c>
      <c r="B125" s="2" t="s">
        <v>173</v>
      </c>
      <c r="C125" s="2">
        <v>6.8</v>
      </c>
      <c r="D125" s="2" t="s">
        <v>306</v>
      </c>
    </row>
    <row r="126" spans="1:4" x14ac:dyDescent="0.25">
      <c r="A126" s="2">
        <v>125</v>
      </c>
      <c r="B126" s="2" t="s">
        <v>174</v>
      </c>
      <c r="C126" s="2">
        <v>17.3</v>
      </c>
      <c r="D126" s="2" t="s">
        <v>306</v>
      </c>
    </row>
    <row r="127" spans="1:4" x14ac:dyDescent="0.25">
      <c r="A127" s="2">
        <v>126</v>
      </c>
      <c r="B127" s="2" t="s">
        <v>175</v>
      </c>
      <c r="C127" s="2">
        <v>12.2</v>
      </c>
      <c r="D127" s="2" t="s">
        <v>306</v>
      </c>
    </row>
    <row r="128" spans="1:4" x14ac:dyDescent="0.25">
      <c r="A128" s="2">
        <v>127</v>
      </c>
      <c r="B128" s="2" t="s">
        <v>176</v>
      </c>
      <c r="C128" s="2">
        <v>12.5</v>
      </c>
      <c r="D128" s="2" t="s">
        <v>306</v>
      </c>
    </row>
    <row r="129" spans="1:4" x14ac:dyDescent="0.25">
      <c r="A129" s="2">
        <v>128</v>
      </c>
      <c r="B129" s="2" t="s">
        <v>177</v>
      </c>
      <c r="C129" s="2">
        <v>16.100000000000001</v>
      </c>
      <c r="D129" s="2" t="s">
        <v>306</v>
      </c>
    </row>
    <row r="130" spans="1:4" x14ac:dyDescent="0.25">
      <c r="A130" s="2">
        <v>129</v>
      </c>
      <c r="B130" s="2" t="s">
        <v>178</v>
      </c>
      <c r="C130" s="2">
        <v>26.1</v>
      </c>
      <c r="D130" s="2" t="s">
        <v>306</v>
      </c>
    </row>
    <row r="131" spans="1:4" x14ac:dyDescent="0.25">
      <c r="A131" s="2">
        <v>130</v>
      </c>
      <c r="B131" s="2" t="s">
        <v>179</v>
      </c>
      <c r="C131" s="2">
        <v>23.5</v>
      </c>
      <c r="D131" s="2" t="s">
        <v>306</v>
      </c>
    </row>
    <row r="132" spans="1:4" x14ac:dyDescent="0.25">
      <c r="A132" s="2">
        <v>131</v>
      </c>
      <c r="B132" s="2" t="s">
        <v>180</v>
      </c>
      <c r="C132" s="2">
        <v>9.1</v>
      </c>
      <c r="D132" s="2" t="s">
        <v>306</v>
      </c>
    </row>
    <row r="133" spans="1:4" x14ac:dyDescent="0.25">
      <c r="A133" s="2">
        <v>132</v>
      </c>
      <c r="B133" s="2" t="s">
        <v>181</v>
      </c>
      <c r="C133" s="2">
        <v>15.5</v>
      </c>
      <c r="D133" s="2" t="s">
        <v>306</v>
      </c>
    </row>
    <row r="134" spans="1:4" x14ac:dyDescent="0.25">
      <c r="A134" s="2">
        <v>133</v>
      </c>
      <c r="B134" s="2" t="s">
        <v>182</v>
      </c>
      <c r="C134" s="2">
        <v>8.8000000000000007</v>
      </c>
      <c r="D134" s="2" t="s">
        <v>306</v>
      </c>
    </row>
    <row r="135" spans="1:4" x14ac:dyDescent="0.25">
      <c r="A135" s="2">
        <v>134</v>
      </c>
      <c r="B135" s="2" t="s">
        <v>183</v>
      </c>
      <c r="C135" s="2">
        <v>8.4</v>
      </c>
      <c r="D135" s="2" t="s">
        <v>306</v>
      </c>
    </row>
    <row r="136" spans="1:4" x14ac:dyDescent="0.25">
      <c r="A136" s="2">
        <v>135</v>
      </c>
      <c r="B136" s="2" t="s">
        <v>184</v>
      </c>
      <c r="C136" s="2">
        <v>50.5</v>
      </c>
      <c r="D136" s="2" t="s">
        <v>306</v>
      </c>
    </row>
    <row r="137" spans="1:4" x14ac:dyDescent="0.25">
      <c r="A137" s="2">
        <v>136</v>
      </c>
      <c r="B137" s="2" t="s">
        <v>53</v>
      </c>
      <c r="C137" s="2">
        <v>6.8</v>
      </c>
      <c r="D137" s="2" t="s">
        <v>306</v>
      </c>
    </row>
    <row r="138" spans="1:4" x14ac:dyDescent="0.25">
      <c r="A138" s="2">
        <v>137</v>
      </c>
      <c r="B138" s="2" t="s">
        <v>185</v>
      </c>
      <c r="C138" s="2">
        <v>7.6</v>
      </c>
      <c r="D138" s="2" t="s">
        <v>306</v>
      </c>
    </row>
    <row r="139" spans="1:4" x14ac:dyDescent="0.25">
      <c r="A139" s="2">
        <v>138</v>
      </c>
      <c r="B139" s="2" t="s">
        <v>186</v>
      </c>
      <c r="C139" s="2">
        <v>14.7</v>
      </c>
      <c r="D139" s="2" t="s">
        <v>306</v>
      </c>
    </row>
    <row r="140" spans="1:4" x14ac:dyDescent="0.25">
      <c r="A140" s="2">
        <v>139</v>
      </c>
      <c r="B140" s="2" t="s">
        <v>187</v>
      </c>
      <c r="C140" s="2">
        <v>22.4</v>
      </c>
      <c r="D140" s="2" t="s">
        <v>306</v>
      </c>
    </row>
    <row r="141" spans="1:4" x14ac:dyDescent="0.25">
      <c r="A141" s="2">
        <v>140</v>
      </c>
      <c r="B141" s="2" t="s">
        <v>188</v>
      </c>
      <c r="C141" s="2">
        <v>15.6</v>
      </c>
      <c r="D141" s="2" t="s">
        <v>306</v>
      </c>
    </row>
    <row r="142" spans="1:4" x14ac:dyDescent="0.25">
      <c r="A142" s="2">
        <v>141</v>
      </c>
      <c r="B142" s="2" t="s">
        <v>189</v>
      </c>
      <c r="C142" s="2">
        <v>14.2</v>
      </c>
      <c r="D142" s="2" t="s">
        <v>306</v>
      </c>
    </row>
    <row r="143" spans="1:4" x14ac:dyDescent="0.25">
      <c r="A143" s="2">
        <v>142</v>
      </c>
      <c r="B143" s="2" t="s">
        <v>190</v>
      </c>
      <c r="C143" s="2">
        <v>14.2</v>
      </c>
      <c r="D143" s="2" t="s">
        <v>306</v>
      </c>
    </row>
    <row r="144" spans="1:4" x14ac:dyDescent="0.25">
      <c r="A144" s="2">
        <v>143</v>
      </c>
      <c r="B144" s="2" t="s">
        <v>191</v>
      </c>
      <c r="C144" s="2">
        <v>6.2</v>
      </c>
      <c r="D144" s="2" t="s">
        <v>306</v>
      </c>
    </row>
    <row r="145" spans="1:4" x14ac:dyDescent="0.25">
      <c r="A145" s="2">
        <v>144</v>
      </c>
      <c r="B145" s="2" t="s">
        <v>192</v>
      </c>
      <c r="C145" s="2">
        <v>6.9</v>
      </c>
      <c r="D145" s="2" t="s">
        <v>306</v>
      </c>
    </row>
    <row r="146" spans="1:4" x14ac:dyDescent="0.25">
      <c r="A146" s="2">
        <v>145</v>
      </c>
      <c r="B146" s="2" t="s">
        <v>193</v>
      </c>
      <c r="C146" s="2">
        <v>15.4</v>
      </c>
      <c r="D146" s="2" t="s">
        <v>306</v>
      </c>
    </row>
    <row r="147" spans="1:4" x14ac:dyDescent="0.25">
      <c r="A147" s="2">
        <v>146</v>
      </c>
      <c r="B147" s="2" t="s">
        <v>194</v>
      </c>
      <c r="C147" s="2">
        <v>8.6999999999999993</v>
      </c>
      <c r="D147" s="2" t="s">
        <v>306</v>
      </c>
    </row>
    <row r="148" spans="1:4" x14ac:dyDescent="0.25">
      <c r="A148" s="1" t="s">
        <v>288</v>
      </c>
      <c r="B148" s="1"/>
      <c r="C148" s="1">
        <f>SUM(C2:C147)</f>
        <v>2069.1999999999989</v>
      </c>
      <c r="D148" s="1">
        <f>COUNTIF(ML!D2:D147,Playlist!$J$5)</f>
        <v>0</v>
      </c>
    </row>
  </sheetData>
  <conditionalFormatting sqref="D2:D147">
    <cfRule type="containsText" dxfId="22" priority="1" operator="containsText" text="Start">
      <formula>NOT(ISERROR(SEARCH("Start",D2)))</formula>
    </cfRule>
    <cfRule type="containsText" dxfId="21" priority="2" operator="containsText" text="Completed">
      <formula>NOT(ISERROR(SEARCH("Completed",D2)))</formula>
    </cfRule>
    <cfRule type="containsText" dxfId="20" priority="3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8F4633E6-5721-4230-8D8C-9A8320473CAD}">
          <x14:formula1>
            <xm:f>Playlist!$J$2:$J$5</xm:f>
          </x14:formula1>
          <xm:sqref>D2:D147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3F9C-2D45-4F8D-ACDF-8D8065D42C63}">
  <dimension ref="A1:D17"/>
  <sheetViews>
    <sheetView zoomScale="130" zoomScaleNormal="130" workbookViewId="0">
      <selection activeCell="E22" sqref="E22"/>
    </sheetView>
  </sheetViews>
  <sheetFormatPr defaultRowHeight="15" x14ac:dyDescent="0.25"/>
  <cols>
    <col min="1" max="1" width="5.42578125" bestFit="1" customWidth="1"/>
    <col min="2" max="2" width="95.42578125" bestFit="1" customWidth="1"/>
    <col min="3" max="3" width="7" bestFit="1" customWidth="1"/>
    <col min="4" max="4" width="13.7109375" bestFit="1" customWidth="1"/>
  </cols>
  <sheetData>
    <row r="1" spans="1:4" x14ac:dyDescent="0.25">
      <c r="A1" s="5" t="str">
        <f>HYPERLINK(Playlist!D5,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324</v>
      </c>
      <c r="C2" s="2">
        <v>12.5</v>
      </c>
      <c r="D2" s="2" t="s">
        <v>306</v>
      </c>
    </row>
    <row r="3" spans="1:4" x14ac:dyDescent="0.25">
      <c r="A3" s="2">
        <v>2</v>
      </c>
      <c r="B3" s="2" t="s">
        <v>325</v>
      </c>
      <c r="C3" s="2">
        <v>24.2</v>
      </c>
      <c r="D3" s="2" t="s">
        <v>306</v>
      </c>
    </row>
    <row r="4" spans="1:4" x14ac:dyDescent="0.25">
      <c r="A4" s="2">
        <v>3</v>
      </c>
      <c r="B4" s="2" t="s">
        <v>326</v>
      </c>
      <c r="C4" s="2">
        <v>8.1</v>
      </c>
      <c r="D4" s="2" t="s">
        <v>306</v>
      </c>
    </row>
    <row r="5" spans="1:4" x14ac:dyDescent="0.25">
      <c r="A5" s="2">
        <v>4</v>
      </c>
      <c r="B5" s="2" t="s">
        <v>327</v>
      </c>
      <c r="C5" s="2">
        <v>6.5</v>
      </c>
      <c r="D5" s="2" t="s">
        <v>306</v>
      </c>
    </row>
    <row r="6" spans="1:4" x14ac:dyDescent="0.25">
      <c r="A6" s="2">
        <v>5</v>
      </c>
      <c r="B6" s="2" t="s">
        <v>328</v>
      </c>
      <c r="C6" s="2">
        <v>11.5</v>
      </c>
      <c r="D6" s="2" t="s">
        <v>306</v>
      </c>
    </row>
    <row r="7" spans="1:4" x14ac:dyDescent="0.25">
      <c r="A7" s="2">
        <v>6</v>
      </c>
      <c r="B7" s="2" t="s">
        <v>329</v>
      </c>
      <c r="C7" s="2">
        <v>7.8</v>
      </c>
      <c r="D7" s="2" t="s">
        <v>306</v>
      </c>
    </row>
    <row r="8" spans="1:4" x14ac:dyDescent="0.25">
      <c r="A8" s="2">
        <v>7</v>
      </c>
      <c r="B8" s="2" t="s">
        <v>330</v>
      </c>
      <c r="C8" s="2">
        <v>92</v>
      </c>
      <c r="D8" s="2" t="s">
        <v>306</v>
      </c>
    </row>
    <row r="9" spans="1:4" x14ac:dyDescent="0.25">
      <c r="A9" s="2">
        <v>8</v>
      </c>
      <c r="B9" s="2" t="s">
        <v>331</v>
      </c>
      <c r="C9" s="2">
        <v>82.8</v>
      </c>
      <c r="D9" s="2" t="s">
        <v>306</v>
      </c>
    </row>
    <row r="10" spans="1:4" x14ac:dyDescent="0.25">
      <c r="A10" s="2">
        <v>9</v>
      </c>
      <c r="B10" s="2" t="s">
        <v>332</v>
      </c>
      <c r="C10" s="2">
        <v>111.6</v>
      </c>
      <c r="D10" s="2" t="s">
        <v>306</v>
      </c>
    </row>
    <row r="11" spans="1:4" x14ac:dyDescent="0.25">
      <c r="A11" s="2">
        <v>10</v>
      </c>
      <c r="B11" s="2" t="s">
        <v>333</v>
      </c>
      <c r="C11" s="2">
        <v>80.900000000000006</v>
      </c>
      <c r="D11" s="2" t="s">
        <v>306</v>
      </c>
    </row>
    <row r="12" spans="1:4" x14ac:dyDescent="0.25">
      <c r="A12" s="2">
        <v>11</v>
      </c>
      <c r="B12" s="2" t="s">
        <v>334</v>
      </c>
      <c r="C12" s="2">
        <v>17.7</v>
      </c>
      <c r="D12" s="2" t="s">
        <v>306</v>
      </c>
    </row>
    <row r="13" spans="1:4" x14ac:dyDescent="0.25">
      <c r="A13" s="2">
        <v>12</v>
      </c>
      <c r="B13" s="2" t="s">
        <v>335</v>
      </c>
      <c r="C13" s="2">
        <v>101.8</v>
      </c>
      <c r="D13" s="2" t="s">
        <v>306</v>
      </c>
    </row>
    <row r="14" spans="1:4" x14ac:dyDescent="0.25">
      <c r="A14" s="2">
        <v>13</v>
      </c>
      <c r="B14" s="2" t="s">
        <v>336</v>
      </c>
      <c r="C14" s="2">
        <v>80.099999999999994</v>
      </c>
      <c r="D14" s="2" t="s">
        <v>306</v>
      </c>
    </row>
    <row r="15" spans="1:4" x14ac:dyDescent="0.25">
      <c r="A15" s="2">
        <v>14</v>
      </c>
      <c r="B15" s="2" t="s">
        <v>337</v>
      </c>
      <c r="C15" s="2">
        <v>97.9</v>
      </c>
      <c r="D15" s="2" t="s">
        <v>306</v>
      </c>
    </row>
    <row r="16" spans="1:4" x14ac:dyDescent="0.25">
      <c r="A16" s="2">
        <v>15</v>
      </c>
      <c r="B16" s="2" t="s">
        <v>187</v>
      </c>
      <c r="C16" s="2">
        <v>22.4</v>
      </c>
      <c r="D16" s="2" t="s">
        <v>306</v>
      </c>
    </row>
    <row r="17" spans="1:4" x14ac:dyDescent="0.25">
      <c r="A17" s="1" t="s">
        <v>288</v>
      </c>
      <c r="B17" s="1"/>
      <c r="C17" s="1">
        <f>SUM(C2:C16)</f>
        <v>757.8</v>
      </c>
      <c r="D17" s="1">
        <f>COUNTIF(FE!D2:D16,Playlist!$J$5)</f>
        <v>0</v>
      </c>
    </row>
  </sheetData>
  <conditionalFormatting sqref="D2:D16">
    <cfRule type="containsText" dxfId="19" priority="1" operator="containsText" text="Start">
      <formula>NOT(ISERROR(SEARCH("Start",D2)))</formula>
    </cfRule>
    <cfRule type="containsText" dxfId="18" priority="2" operator="containsText" text="Completed">
      <formula>NOT(ISERROR(SEARCH("Completed",D2)))</formula>
    </cfRule>
    <cfRule type="containsText" dxfId="17" priority="3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EEF2E13B-B70C-411F-A2CD-EBB05A2F8928}">
          <x14:formula1>
            <xm:f>Playlist!$J$2:$J$5</xm:f>
          </x14:formula1>
          <xm:sqref>D2:D16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8A82-66BE-4423-8305-DE0B679DDFA1}">
  <dimension ref="A1:D81"/>
  <sheetViews>
    <sheetView zoomScale="130" zoomScaleNormal="130" workbookViewId="0">
      <selection activeCell="E22" sqref="E22"/>
    </sheetView>
  </sheetViews>
  <sheetFormatPr defaultRowHeight="15" x14ac:dyDescent="0.25"/>
  <cols>
    <col min="1" max="1" width="5.42578125" bestFit="1" customWidth="1"/>
    <col min="2" max="2" width="102.5703125" bestFit="1" customWidth="1"/>
    <col min="3" max="3" width="7" bestFit="1" customWidth="1"/>
    <col min="4" max="4" width="13.7109375" bestFit="1" customWidth="1"/>
  </cols>
  <sheetData>
    <row r="1" spans="1:4" x14ac:dyDescent="0.25">
      <c r="A1" s="5" t="str">
        <f>HYPERLINK(Playlist!D6,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195</v>
      </c>
      <c r="C2" s="2">
        <v>14.1</v>
      </c>
      <c r="D2" s="2" t="s">
        <v>306</v>
      </c>
    </row>
    <row r="3" spans="1:4" x14ac:dyDescent="0.25">
      <c r="A3" s="2">
        <v>2</v>
      </c>
      <c r="B3" s="2" t="s">
        <v>196</v>
      </c>
      <c r="C3" s="2">
        <v>16.399999999999999</v>
      </c>
      <c r="D3" s="2" t="s">
        <v>306</v>
      </c>
    </row>
    <row r="4" spans="1:4" x14ac:dyDescent="0.25">
      <c r="A4" s="2">
        <v>3</v>
      </c>
      <c r="B4" s="2" t="s">
        <v>184</v>
      </c>
      <c r="C4" s="2">
        <v>50.5</v>
      </c>
      <c r="D4" s="2" t="s">
        <v>306</v>
      </c>
    </row>
    <row r="5" spans="1:4" x14ac:dyDescent="0.25">
      <c r="A5" s="2">
        <v>4</v>
      </c>
      <c r="B5" s="2" t="s">
        <v>197</v>
      </c>
      <c r="C5" s="2">
        <v>8.3000000000000007</v>
      </c>
      <c r="D5" s="2" t="s">
        <v>306</v>
      </c>
    </row>
    <row r="6" spans="1:4" x14ac:dyDescent="0.25">
      <c r="A6" s="2">
        <v>5</v>
      </c>
      <c r="B6" s="2" t="s">
        <v>198</v>
      </c>
      <c r="C6" s="2">
        <v>7.5</v>
      </c>
      <c r="D6" s="2" t="s">
        <v>306</v>
      </c>
    </row>
    <row r="7" spans="1:4" x14ac:dyDescent="0.25">
      <c r="A7" s="2">
        <v>6</v>
      </c>
      <c r="B7" s="2" t="s">
        <v>199</v>
      </c>
      <c r="C7" s="2">
        <v>6</v>
      </c>
      <c r="D7" s="2" t="s">
        <v>306</v>
      </c>
    </row>
    <row r="8" spans="1:4" x14ac:dyDescent="0.25">
      <c r="A8" s="2">
        <v>7</v>
      </c>
      <c r="B8" s="2" t="s">
        <v>200</v>
      </c>
      <c r="C8" s="2">
        <v>9.5</v>
      </c>
      <c r="D8" s="2" t="s">
        <v>306</v>
      </c>
    </row>
    <row r="9" spans="1:4" x14ac:dyDescent="0.25">
      <c r="A9" s="2">
        <v>8</v>
      </c>
      <c r="B9" s="2" t="s">
        <v>201</v>
      </c>
      <c r="C9" s="2">
        <v>14.3</v>
      </c>
      <c r="D9" s="2" t="s">
        <v>306</v>
      </c>
    </row>
    <row r="10" spans="1:4" x14ac:dyDescent="0.25">
      <c r="A10" s="2">
        <v>9</v>
      </c>
      <c r="B10" s="2" t="s">
        <v>202</v>
      </c>
      <c r="C10" s="2">
        <v>13.8</v>
      </c>
      <c r="D10" s="2" t="s">
        <v>306</v>
      </c>
    </row>
    <row r="11" spans="1:4" x14ac:dyDescent="0.25">
      <c r="A11" s="2">
        <v>10</v>
      </c>
      <c r="B11" s="2" t="s">
        <v>203</v>
      </c>
      <c r="C11" s="2">
        <v>14.6</v>
      </c>
      <c r="D11" s="2" t="s">
        <v>306</v>
      </c>
    </row>
    <row r="12" spans="1:4" x14ac:dyDescent="0.25">
      <c r="A12" s="2">
        <v>11</v>
      </c>
      <c r="B12" s="2" t="s">
        <v>204</v>
      </c>
      <c r="C12" s="2">
        <v>11.2</v>
      </c>
      <c r="D12" s="2" t="s">
        <v>306</v>
      </c>
    </row>
    <row r="13" spans="1:4" x14ac:dyDescent="0.25">
      <c r="A13" s="2">
        <v>12</v>
      </c>
      <c r="B13" s="2" t="s">
        <v>205</v>
      </c>
      <c r="C13" s="2">
        <v>11.6</v>
      </c>
      <c r="D13" s="2" t="s">
        <v>306</v>
      </c>
    </row>
    <row r="14" spans="1:4" x14ac:dyDescent="0.25">
      <c r="A14" s="2">
        <v>13</v>
      </c>
      <c r="B14" s="2" t="s">
        <v>206</v>
      </c>
      <c r="C14" s="2">
        <v>12.4</v>
      </c>
      <c r="D14" s="2" t="s">
        <v>306</v>
      </c>
    </row>
    <row r="15" spans="1:4" x14ac:dyDescent="0.25">
      <c r="A15" s="2">
        <v>14</v>
      </c>
      <c r="B15" s="2" t="s">
        <v>207</v>
      </c>
      <c r="C15" s="2">
        <v>38.799999999999997</v>
      </c>
      <c r="D15" s="2" t="s">
        <v>306</v>
      </c>
    </row>
    <row r="16" spans="1:4" x14ac:dyDescent="0.25">
      <c r="A16" s="2">
        <v>15</v>
      </c>
      <c r="B16" s="2" t="s">
        <v>208</v>
      </c>
      <c r="C16" s="2">
        <v>13</v>
      </c>
      <c r="D16" s="2" t="s">
        <v>306</v>
      </c>
    </row>
    <row r="17" spans="1:4" x14ac:dyDescent="0.25">
      <c r="A17" s="2">
        <v>16</v>
      </c>
      <c r="B17" s="2" t="s">
        <v>209</v>
      </c>
      <c r="C17" s="2">
        <v>12.4</v>
      </c>
      <c r="D17" s="2" t="s">
        <v>306</v>
      </c>
    </row>
    <row r="18" spans="1:4" x14ac:dyDescent="0.25">
      <c r="A18" s="2">
        <v>17</v>
      </c>
      <c r="B18" s="2" t="s">
        <v>210</v>
      </c>
      <c r="C18" s="2">
        <v>14.1</v>
      </c>
      <c r="D18" s="2" t="s">
        <v>306</v>
      </c>
    </row>
    <row r="19" spans="1:4" x14ac:dyDescent="0.25">
      <c r="A19" s="2">
        <v>18</v>
      </c>
      <c r="B19" s="2" t="s">
        <v>211</v>
      </c>
      <c r="C19" s="2">
        <v>13.2</v>
      </c>
      <c r="D19" s="2" t="s">
        <v>306</v>
      </c>
    </row>
    <row r="20" spans="1:4" x14ac:dyDescent="0.25">
      <c r="A20" s="2">
        <v>19</v>
      </c>
      <c r="B20" s="2" t="s">
        <v>212</v>
      </c>
      <c r="C20" s="2">
        <v>13.4</v>
      </c>
      <c r="D20" s="2" t="s">
        <v>306</v>
      </c>
    </row>
    <row r="21" spans="1:4" x14ac:dyDescent="0.25">
      <c r="A21" s="2">
        <v>20</v>
      </c>
      <c r="B21" s="2" t="s">
        <v>213</v>
      </c>
      <c r="C21" s="2">
        <v>9.5</v>
      </c>
      <c r="D21" s="2" t="s">
        <v>306</v>
      </c>
    </row>
    <row r="22" spans="1:4" x14ac:dyDescent="0.25">
      <c r="A22" s="2">
        <v>21</v>
      </c>
      <c r="B22" s="2" t="s">
        <v>214</v>
      </c>
      <c r="C22" s="2">
        <v>101.9</v>
      </c>
      <c r="D22" s="2" t="s">
        <v>306</v>
      </c>
    </row>
    <row r="23" spans="1:4" x14ac:dyDescent="0.25">
      <c r="A23" s="2">
        <v>22</v>
      </c>
      <c r="B23" s="2" t="s">
        <v>215</v>
      </c>
      <c r="C23" s="2">
        <v>102.5</v>
      </c>
      <c r="D23" s="2" t="s">
        <v>306</v>
      </c>
    </row>
    <row r="24" spans="1:4" x14ac:dyDescent="0.25">
      <c r="A24" s="2">
        <v>23</v>
      </c>
      <c r="B24" s="2" t="s">
        <v>216</v>
      </c>
      <c r="C24" s="2">
        <v>24.8</v>
      </c>
      <c r="D24" s="2" t="s">
        <v>306</v>
      </c>
    </row>
    <row r="25" spans="1:4" x14ac:dyDescent="0.25">
      <c r="A25" s="2">
        <v>24</v>
      </c>
      <c r="B25" s="2" t="s">
        <v>217</v>
      </c>
      <c r="C25" s="2">
        <v>19.399999999999999</v>
      </c>
      <c r="D25" s="2" t="s">
        <v>306</v>
      </c>
    </row>
    <row r="26" spans="1:4" x14ac:dyDescent="0.25">
      <c r="A26" s="2">
        <v>25</v>
      </c>
      <c r="B26" s="2" t="s">
        <v>218</v>
      </c>
      <c r="C26" s="2">
        <v>10.7</v>
      </c>
      <c r="D26" s="2" t="s">
        <v>306</v>
      </c>
    </row>
    <row r="27" spans="1:4" x14ac:dyDescent="0.25">
      <c r="A27" s="2">
        <v>26</v>
      </c>
      <c r="B27" s="2" t="s">
        <v>219</v>
      </c>
      <c r="C27" s="2">
        <v>19.399999999999999</v>
      </c>
      <c r="D27" s="2" t="s">
        <v>306</v>
      </c>
    </row>
    <row r="28" spans="1:4" x14ac:dyDescent="0.25">
      <c r="A28" s="2">
        <v>27</v>
      </c>
      <c r="B28" s="2" t="s">
        <v>220</v>
      </c>
      <c r="C28" s="2">
        <v>6.7</v>
      </c>
      <c r="D28" s="2" t="s">
        <v>306</v>
      </c>
    </row>
    <row r="29" spans="1:4" x14ac:dyDescent="0.25">
      <c r="A29" s="2">
        <v>28</v>
      </c>
      <c r="B29" s="2" t="s">
        <v>221</v>
      </c>
      <c r="C29" s="2">
        <v>11.1</v>
      </c>
      <c r="D29" s="2" t="s">
        <v>306</v>
      </c>
    </row>
    <row r="30" spans="1:4" x14ac:dyDescent="0.25">
      <c r="A30" s="2">
        <v>29</v>
      </c>
      <c r="B30" s="2" t="s">
        <v>222</v>
      </c>
      <c r="C30" s="2">
        <v>7.9</v>
      </c>
      <c r="D30" s="2" t="s">
        <v>306</v>
      </c>
    </row>
    <row r="31" spans="1:4" x14ac:dyDescent="0.25">
      <c r="A31" s="2">
        <v>30</v>
      </c>
      <c r="B31" s="2" t="s">
        <v>223</v>
      </c>
      <c r="C31" s="2">
        <v>11.2</v>
      </c>
      <c r="D31" s="2" t="s">
        <v>306</v>
      </c>
    </row>
    <row r="32" spans="1:4" x14ac:dyDescent="0.25">
      <c r="A32" s="2">
        <v>31</v>
      </c>
      <c r="B32" s="2" t="s">
        <v>224</v>
      </c>
      <c r="C32" s="2">
        <v>6.6</v>
      </c>
      <c r="D32" s="2" t="s">
        <v>306</v>
      </c>
    </row>
    <row r="33" spans="1:4" x14ac:dyDescent="0.25">
      <c r="A33" s="2">
        <v>32</v>
      </c>
      <c r="B33" s="2" t="s">
        <v>225</v>
      </c>
      <c r="C33" s="2">
        <v>7.7</v>
      </c>
      <c r="D33" s="2" t="s">
        <v>306</v>
      </c>
    </row>
    <row r="34" spans="1:4" x14ac:dyDescent="0.25">
      <c r="A34" s="2">
        <v>33</v>
      </c>
      <c r="B34" s="2" t="s">
        <v>226</v>
      </c>
      <c r="C34" s="2">
        <v>7.1</v>
      </c>
      <c r="D34" s="2" t="s">
        <v>306</v>
      </c>
    </row>
    <row r="35" spans="1:4" x14ac:dyDescent="0.25">
      <c r="A35" s="2">
        <v>34</v>
      </c>
      <c r="B35" s="2" t="s">
        <v>227</v>
      </c>
      <c r="C35" s="2">
        <v>27.7</v>
      </c>
      <c r="D35" s="2" t="s">
        <v>306</v>
      </c>
    </row>
    <row r="36" spans="1:4" x14ac:dyDescent="0.25">
      <c r="A36" s="2">
        <v>35</v>
      </c>
      <c r="B36" s="2" t="s">
        <v>228</v>
      </c>
      <c r="C36" s="2">
        <v>15</v>
      </c>
      <c r="D36" s="2" t="s">
        <v>306</v>
      </c>
    </row>
    <row r="37" spans="1:4" x14ac:dyDescent="0.25">
      <c r="A37" s="2">
        <v>36</v>
      </c>
      <c r="B37" s="2" t="s">
        <v>229</v>
      </c>
      <c r="C37" s="2">
        <v>10.199999999999999</v>
      </c>
      <c r="D37" s="2" t="s">
        <v>306</v>
      </c>
    </row>
    <row r="38" spans="1:4" x14ac:dyDescent="0.25">
      <c r="A38" s="2">
        <v>37</v>
      </c>
      <c r="B38" s="2" t="s">
        <v>230</v>
      </c>
      <c r="C38" s="2">
        <v>10.9</v>
      </c>
      <c r="D38" s="2" t="s">
        <v>306</v>
      </c>
    </row>
    <row r="39" spans="1:4" x14ac:dyDescent="0.25">
      <c r="A39" s="2">
        <v>38</v>
      </c>
      <c r="B39" s="2" t="s">
        <v>231</v>
      </c>
      <c r="C39" s="2">
        <v>7.5</v>
      </c>
      <c r="D39" s="2" t="s">
        <v>306</v>
      </c>
    </row>
    <row r="40" spans="1:4" x14ac:dyDescent="0.25">
      <c r="A40" s="2">
        <v>39</v>
      </c>
      <c r="B40" s="2" t="s">
        <v>232</v>
      </c>
      <c r="C40" s="2">
        <v>5.7</v>
      </c>
      <c r="D40" s="2" t="s">
        <v>306</v>
      </c>
    </row>
    <row r="41" spans="1:4" x14ac:dyDescent="0.25">
      <c r="A41" s="2">
        <v>40</v>
      </c>
      <c r="B41" s="2" t="s">
        <v>233</v>
      </c>
      <c r="C41" s="2">
        <v>19.5</v>
      </c>
      <c r="D41" s="2" t="s">
        <v>306</v>
      </c>
    </row>
    <row r="42" spans="1:4" x14ac:dyDescent="0.25">
      <c r="A42" s="2">
        <v>41</v>
      </c>
      <c r="B42" s="2" t="s">
        <v>234</v>
      </c>
      <c r="C42" s="2">
        <v>23.5</v>
      </c>
      <c r="D42" s="2" t="s">
        <v>306</v>
      </c>
    </row>
    <row r="43" spans="1:4" x14ac:dyDescent="0.25">
      <c r="A43" s="2">
        <v>42</v>
      </c>
      <c r="B43" s="2" t="s">
        <v>235</v>
      </c>
      <c r="C43" s="2">
        <v>15.2</v>
      </c>
      <c r="D43" s="2" t="s">
        <v>306</v>
      </c>
    </row>
    <row r="44" spans="1:4" x14ac:dyDescent="0.25">
      <c r="A44" s="2">
        <v>43</v>
      </c>
      <c r="B44" s="2" t="s">
        <v>236</v>
      </c>
      <c r="C44" s="2">
        <v>18.100000000000001</v>
      </c>
      <c r="D44" s="2" t="s">
        <v>306</v>
      </c>
    </row>
    <row r="45" spans="1:4" x14ac:dyDescent="0.25">
      <c r="A45" s="2">
        <v>44</v>
      </c>
      <c r="B45" s="2" t="s">
        <v>237</v>
      </c>
      <c r="C45" s="2">
        <v>14.4</v>
      </c>
      <c r="D45" s="2" t="s">
        <v>306</v>
      </c>
    </row>
    <row r="46" spans="1:4" x14ac:dyDescent="0.25">
      <c r="A46" s="2">
        <v>45</v>
      </c>
      <c r="B46" s="2" t="s">
        <v>238</v>
      </c>
      <c r="C46" s="2">
        <v>21.9</v>
      </c>
      <c r="D46" s="2" t="s">
        <v>306</v>
      </c>
    </row>
    <row r="47" spans="1:4" x14ac:dyDescent="0.25">
      <c r="A47" s="2">
        <v>46</v>
      </c>
      <c r="B47" s="2" t="s">
        <v>239</v>
      </c>
      <c r="C47" s="2">
        <v>36.6</v>
      </c>
      <c r="D47" s="2" t="s">
        <v>306</v>
      </c>
    </row>
    <row r="48" spans="1:4" x14ac:dyDescent="0.25">
      <c r="A48" s="2">
        <v>47</v>
      </c>
      <c r="B48" s="2" t="s">
        <v>240</v>
      </c>
      <c r="C48" s="2">
        <v>7.9</v>
      </c>
      <c r="D48" s="2" t="s">
        <v>306</v>
      </c>
    </row>
    <row r="49" spans="1:4" x14ac:dyDescent="0.25">
      <c r="A49" s="2">
        <v>48</v>
      </c>
      <c r="B49" s="2" t="s">
        <v>241</v>
      </c>
      <c r="C49" s="2">
        <v>18</v>
      </c>
      <c r="D49" s="2" t="s">
        <v>306</v>
      </c>
    </row>
    <row r="50" spans="1:4" x14ac:dyDescent="0.25">
      <c r="A50" s="2">
        <v>49</v>
      </c>
      <c r="B50" s="2" t="s">
        <v>242</v>
      </c>
      <c r="C50" s="2">
        <v>13.4</v>
      </c>
      <c r="D50" s="2" t="s">
        <v>306</v>
      </c>
    </row>
    <row r="51" spans="1:4" x14ac:dyDescent="0.25">
      <c r="A51" s="2">
        <v>50</v>
      </c>
      <c r="B51" s="2" t="s">
        <v>243</v>
      </c>
      <c r="C51" s="2">
        <v>30.5</v>
      </c>
      <c r="D51" s="2" t="s">
        <v>306</v>
      </c>
    </row>
    <row r="52" spans="1:4" x14ac:dyDescent="0.25">
      <c r="A52" s="2">
        <v>51</v>
      </c>
      <c r="B52" s="2" t="s">
        <v>244</v>
      </c>
      <c r="C52" s="2">
        <v>19.3</v>
      </c>
      <c r="D52" s="2" t="s">
        <v>306</v>
      </c>
    </row>
    <row r="53" spans="1:4" x14ac:dyDescent="0.25">
      <c r="A53" s="2">
        <v>52</v>
      </c>
      <c r="B53" s="2" t="s">
        <v>245</v>
      </c>
      <c r="C53" s="2">
        <v>11.1</v>
      </c>
      <c r="D53" s="2" t="s">
        <v>306</v>
      </c>
    </row>
    <row r="54" spans="1:4" x14ac:dyDescent="0.25">
      <c r="A54" s="2">
        <v>53</v>
      </c>
      <c r="B54" s="2" t="s">
        <v>246</v>
      </c>
      <c r="C54" s="2">
        <v>63.8</v>
      </c>
      <c r="D54" s="2" t="s">
        <v>306</v>
      </c>
    </row>
    <row r="55" spans="1:4" x14ac:dyDescent="0.25">
      <c r="A55" s="2">
        <v>54</v>
      </c>
      <c r="B55" s="2" t="s">
        <v>247</v>
      </c>
      <c r="C55" s="2">
        <v>97.5</v>
      </c>
      <c r="D55" s="2" t="s">
        <v>306</v>
      </c>
    </row>
    <row r="56" spans="1:4" x14ac:dyDescent="0.25">
      <c r="A56" s="2">
        <v>55</v>
      </c>
      <c r="B56" s="2" t="s">
        <v>248</v>
      </c>
      <c r="C56" s="2">
        <v>95.8</v>
      </c>
      <c r="D56" s="2" t="s">
        <v>306</v>
      </c>
    </row>
    <row r="57" spans="1:4" x14ac:dyDescent="0.25">
      <c r="A57" s="2">
        <v>56</v>
      </c>
      <c r="B57" s="2" t="s">
        <v>249</v>
      </c>
      <c r="C57" s="2">
        <v>79.400000000000006</v>
      </c>
      <c r="D57" s="2" t="s">
        <v>306</v>
      </c>
    </row>
    <row r="58" spans="1:4" x14ac:dyDescent="0.25">
      <c r="A58" s="2">
        <v>57</v>
      </c>
      <c r="B58" s="2" t="s">
        <v>250</v>
      </c>
      <c r="C58" s="2">
        <v>24.4</v>
      </c>
      <c r="D58" s="2" t="s">
        <v>306</v>
      </c>
    </row>
    <row r="59" spans="1:4" x14ac:dyDescent="0.25">
      <c r="A59" s="2">
        <v>58</v>
      </c>
      <c r="B59" s="2" t="s">
        <v>251</v>
      </c>
      <c r="C59" s="2">
        <v>23.3</v>
      </c>
      <c r="D59" s="2" t="s">
        <v>306</v>
      </c>
    </row>
    <row r="60" spans="1:4" x14ac:dyDescent="0.25">
      <c r="A60" s="2">
        <v>59</v>
      </c>
      <c r="B60" s="2" t="s">
        <v>252</v>
      </c>
      <c r="C60" s="2">
        <v>23.7</v>
      </c>
      <c r="D60" s="2" t="s">
        <v>306</v>
      </c>
    </row>
    <row r="61" spans="1:4" x14ac:dyDescent="0.25">
      <c r="A61" s="2">
        <v>60</v>
      </c>
      <c r="B61" s="2" t="s">
        <v>253</v>
      </c>
      <c r="C61" s="2">
        <v>14.3</v>
      </c>
      <c r="D61" s="2" t="s">
        <v>306</v>
      </c>
    </row>
    <row r="62" spans="1:4" x14ac:dyDescent="0.25">
      <c r="A62" s="2">
        <v>61</v>
      </c>
      <c r="B62" s="2" t="s">
        <v>254</v>
      </c>
      <c r="C62" s="2">
        <v>21.6</v>
      </c>
      <c r="D62" s="2" t="s">
        <v>306</v>
      </c>
    </row>
    <row r="63" spans="1:4" x14ac:dyDescent="0.25">
      <c r="A63" s="2">
        <v>62</v>
      </c>
      <c r="B63" s="2" t="s">
        <v>255</v>
      </c>
      <c r="C63" s="2">
        <v>12.9</v>
      </c>
      <c r="D63" s="2" t="s">
        <v>306</v>
      </c>
    </row>
    <row r="64" spans="1:4" x14ac:dyDescent="0.25">
      <c r="A64" s="2">
        <v>63</v>
      </c>
      <c r="B64" s="2" t="s">
        <v>256</v>
      </c>
      <c r="C64" s="2">
        <v>15.6</v>
      </c>
      <c r="D64" s="2" t="s">
        <v>306</v>
      </c>
    </row>
    <row r="65" spans="1:4" x14ac:dyDescent="0.25">
      <c r="A65" s="2">
        <v>64</v>
      </c>
      <c r="B65" s="2" t="s">
        <v>163</v>
      </c>
      <c r="C65" s="2">
        <v>7.8</v>
      </c>
      <c r="D65" s="2" t="s">
        <v>306</v>
      </c>
    </row>
    <row r="66" spans="1:4" x14ac:dyDescent="0.25">
      <c r="A66" s="2">
        <v>65</v>
      </c>
      <c r="B66" s="2" t="s">
        <v>164</v>
      </c>
      <c r="C66" s="2">
        <v>13.1</v>
      </c>
      <c r="D66" s="2" t="s">
        <v>306</v>
      </c>
    </row>
    <row r="67" spans="1:4" x14ac:dyDescent="0.25">
      <c r="A67" s="2">
        <v>66</v>
      </c>
      <c r="B67" s="2" t="s">
        <v>257</v>
      </c>
      <c r="C67" s="2">
        <v>16.399999999999999</v>
      </c>
      <c r="D67" s="2" t="s">
        <v>306</v>
      </c>
    </row>
    <row r="68" spans="1:4" x14ac:dyDescent="0.25">
      <c r="A68" s="2">
        <v>67</v>
      </c>
      <c r="B68" s="2" t="s">
        <v>258</v>
      </c>
      <c r="C68" s="2">
        <v>15.8</v>
      </c>
      <c r="D68" s="2" t="s">
        <v>306</v>
      </c>
    </row>
    <row r="69" spans="1:4" x14ac:dyDescent="0.25">
      <c r="A69" s="2">
        <v>68</v>
      </c>
      <c r="B69" s="2" t="s">
        <v>166</v>
      </c>
      <c r="C69" s="2">
        <v>6.6</v>
      </c>
      <c r="D69" s="2" t="s">
        <v>306</v>
      </c>
    </row>
    <row r="70" spans="1:4" x14ac:dyDescent="0.25">
      <c r="A70" s="2">
        <v>69</v>
      </c>
      <c r="B70" s="2" t="s">
        <v>259</v>
      </c>
      <c r="C70" s="2">
        <v>28</v>
      </c>
      <c r="D70" s="2" t="s">
        <v>306</v>
      </c>
    </row>
    <row r="71" spans="1:4" x14ac:dyDescent="0.25">
      <c r="A71" s="2">
        <v>70</v>
      </c>
      <c r="B71" s="2" t="s">
        <v>260</v>
      </c>
      <c r="C71" s="2">
        <v>10</v>
      </c>
      <c r="D71" s="2" t="s">
        <v>306</v>
      </c>
    </row>
    <row r="72" spans="1:4" x14ac:dyDescent="0.25">
      <c r="A72" s="2">
        <v>71</v>
      </c>
      <c r="B72" s="2" t="s">
        <v>172</v>
      </c>
      <c r="C72" s="2">
        <v>5.5</v>
      </c>
      <c r="D72" s="2" t="s">
        <v>306</v>
      </c>
    </row>
    <row r="73" spans="1:4" x14ac:dyDescent="0.25">
      <c r="A73" s="2">
        <v>72</v>
      </c>
      <c r="B73" s="2" t="s">
        <v>261</v>
      </c>
      <c r="C73" s="2">
        <v>25.5</v>
      </c>
      <c r="D73" s="2" t="s">
        <v>306</v>
      </c>
    </row>
    <row r="74" spans="1:4" x14ac:dyDescent="0.25">
      <c r="A74" s="2">
        <v>73</v>
      </c>
      <c r="B74" s="2" t="s">
        <v>262</v>
      </c>
      <c r="C74" s="2">
        <v>18.2</v>
      </c>
      <c r="D74" s="2" t="s">
        <v>306</v>
      </c>
    </row>
    <row r="75" spans="1:4" x14ac:dyDescent="0.25">
      <c r="A75" s="2">
        <v>74</v>
      </c>
      <c r="B75" s="2" t="s">
        <v>263</v>
      </c>
      <c r="C75" s="2">
        <v>10.199999999999999</v>
      </c>
      <c r="D75" s="2" t="s">
        <v>306</v>
      </c>
    </row>
    <row r="76" spans="1:4" x14ac:dyDescent="0.25">
      <c r="A76" s="2">
        <v>75</v>
      </c>
      <c r="B76" s="2" t="s">
        <v>264</v>
      </c>
      <c r="C76" s="2">
        <v>8.5</v>
      </c>
      <c r="D76" s="2" t="s">
        <v>306</v>
      </c>
    </row>
    <row r="77" spans="1:4" x14ac:dyDescent="0.25">
      <c r="A77" s="2">
        <v>76</v>
      </c>
      <c r="B77" s="2" t="s">
        <v>182</v>
      </c>
      <c r="C77" s="2">
        <v>8.8000000000000007</v>
      </c>
      <c r="D77" s="2" t="s">
        <v>306</v>
      </c>
    </row>
    <row r="78" spans="1:4" x14ac:dyDescent="0.25">
      <c r="A78" s="2">
        <v>77</v>
      </c>
      <c r="B78" s="2" t="s">
        <v>183</v>
      </c>
      <c r="C78" s="2">
        <v>8.4</v>
      </c>
      <c r="D78" s="2" t="s">
        <v>306</v>
      </c>
    </row>
    <row r="79" spans="1:4" x14ac:dyDescent="0.25">
      <c r="A79" s="2">
        <v>78</v>
      </c>
      <c r="B79" s="2" t="s">
        <v>265</v>
      </c>
      <c r="C79" s="2">
        <v>47.1</v>
      </c>
      <c r="D79" s="2" t="s">
        <v>306</v>
      </c>
    </row>
    <row r="80" spans="1:4" x14ac:dyDescent="0.25">
      <c r="A80" s="2">
        <v>79</v>
      </c>
      <c r="B80" s="2" t="s">
        <v>266</v>
      </c>
      <c r="C80" s="2">
        <v>7.9</v>
      </c>
      <c r="D80" s="2" t="s">
        <v>306</v>
      </c>
    </row>
    <row r="81" spans="1:4" x14ac:dyDescent="0.25">
      <c r="A81" s="1" t="s">
        <v>288</v>
      </c>
      <c r="B81" s="1"/>
      <c r="C81" s="1">
        <f>SUM(C2:C80)</f>
        <v>1678.1000000000001</v>
      </c>
      <c r="D81" s="1">
        <f>COUNTIF(D2:D80,Playlist!$J$5)</f>
        <v>0</v>
      </c>
    </row>
  </sheetData>
  <conditionalFormatting sqref="D2:D80">
    <cfRule type="containsText" dxfId="16" priority="1" operator="containsText" text="Start">
      <formula>NOT(ISERROR(SEARCH("Start",D2)))</formula>
    </cfRule>
    <cfRule type="containsText" dxfId="15" priority="2" operator="containsText" text="Completed">
      <formula>NOT(ISERROR(SEARCH("Completed",D2)))</formula>
    </cfRule>
    <cfRule type="containsText" dxfId="14" priority="3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03894C20-07B0-4C36-B2D3-7EB752470241}">
          <x14:formula1>
            <xm:f>Playlist!$J$2:$J$5</xm:f>
          </x14:formula1>
          <xm:sqref>D2:D80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543C-3F12-40C6-ADF8-F778DF176851}">
  <dimension ref="A1:D31"/>
  <sheetViews>
    <sheetView zoomScale="130" zoomScaleNormal="130" workbookViewId="0">
      <selection activeCell="E22" sqref="E22"/>
    </sheetView>
  </sheetViews>
  <sheetFormatPr defaultRowHeight="15" x14ac:dyDescent="0.25"/>
  <cols>
    <col min="1" max="1" width="5.42578125" bestFit="1" customWidth="1"/>
    <col min="2" max="2" width="98.28515625" bestFit="1" customWidth="1"/>
    <col min="3" max="3" width="6" bestFit="1" customWidth="1"/>
    <col min="4" max="4" width="13.7109375" bestFit="1" customWidth="1"/>
  </cols>
  <sheetData>
    <row r="1" spans="1:4" x14ac:dyDescent="0.25">
      <c r="A1" s="5" t="str">
        <f>HYPERLINK(Playlist!D7,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267</v>
      </c>
      <c r="C2" s="2">
        <v>20.9</v>
      </c>
      <c r="D2" s="2" t="s">
        <v>306</v>
      </c>
    </row>
    <row r="3" spans="1:4" x14ac:dyDescent="0.25">
      <c r="A3" s="2">
        <v>2</v>
      </c>
      <c r="B3" s="2" t="s">
        <v>268</v>
      </c>
      <c r="C3" s="2">
        <v>9.6999999999999993</v>
      </c>
      <c r="D3" s="2" t="s">
        <v>306</v>
      </c>
    </row>
    <row r="4" spans="1:4" x14ac:dyDescent="0.25">
      <c r="A4" s="2">
        <v>3</v>
      </c>
      <c r="B4" s="2" t="s">
        <v>269</v>
      </c>
      <c r="C4" s="2">
        <v>5.8</v>
      </c>
      <c r="D4" s="2" t="s">
        <v>306</v>
      </c>
    </row>
    <row r="5" spans="1:4" x14ac:dyDescent="0.25">
      <c r="A5" s="2">
        <v>4</v>
      </c>
      <c r="B5" s="2" t="s">
        <v>270</v>
      </c>
      <c r="C5" s="2">
        <v>13.3</v>
      </c>
      <c r="D5" s="2" t="s">
        <v>306</v>
      </c>
    </row>
    <row r="6" spans="1:4" x14ac:dyDescent="0.25">
      <c r="A6" s="2">
        <v>5</v>
      </c>
      <c r="B6" s="2" t="s">
        <v>271</v>
      </c>
      <c r="C6" s="2">
        <v>11.3</v>
      </c>
      <c r="D6" s="2" t="s">
        <v>306</v>
      </c>
    </row>
    <row r="7" spans="1:4" x14ac:dyDescent="0.25">
      <c r="A7" s="2">
        <v>6</v>
      </c>
      <c r="B7" s="2" t="s">
        <v>272</v>
      </c>
      <c r="C7" s="2">
        <v>9.4</v>
      </c>
      <c r="D7" s="2" t="s">
        <v>306</v>
      </c>
    </row>
    <row r="8" spans="1:4" x14ac:dyDescent="0.25">
      <c r="A8" s="2">
        <v>7</v>
      </c>
      <c r="B8" s="2" t="s">
        <v>273</v>
      </c>
      <c r="C8" s="2">
        <v>24.2</v>
      </c>
      <c r="D8" s="2" t="s">
        <v>306</v>
      </c>
    </row>
    <row r="9" spans="1:4" x14ac:dyDescent="0.25">
      <c r="A9" s="2">
        <v>8</v>
      </c>
      <c r="B9" s="2" t="s">
        <v>274</v>
      </c>
      <c r="C9" s="2">
        <v>8.5</v>
      </c>
      <c r="D9" s="2" t="s">
        <v>306</v>
      </c>
    </row>
    <row r="10" spans="1:4" x14ac:dyDescent="0.25">
      <c r="A10" s="2">
        <v>9</v>
      </c>
      <c r="B10" s="2" t="s">
        <v>275</v>
      </c>
      <c r="C10" s="2">
        <v>21.5</v>
      </c>
      <c r="D10" s="2" t="s">
        <v>306</v>
      </c>
    </row>
    <row r="11" spans="1:4" x14ac:dyDescent="0.25">
      <c r="A11" s="2">
        <v>10</v>
      </c>
      <c r="B11" s="2" t="s">
        <v>276</v>
      </c>
      <c r="C11" s="2">
        <v>29</v>
      </c>
      <c r="D11" s="2" t="s">
        <v>306</v>
      </c>
    </row>
    <row r="12" spans="1:4" x14ac:dyDescent="0.25">
      <c r="A12" s="2">
        <v>11</v>
      </c>
      <c r="B12" s="2" t="s">
        <v>277</v>
      </c>
      <c r="C12" s="2">
        <v>22.8</v>
      </c>
      <c r="D12" s="2" t="s">
        <v>306</v>
      </c>
    </row>
    <row r="13" spans="1:4" x14ac:dyDescent="0.25">
      <c r="A13" s="2">
        <v>12</v>
      </c>
      <c r="B13" s="2" t="s">
        <v>278</v>
      </c>
      <c r="C13" s="2">
        <v>14</v>
      </c>
      <c r="D13" s="2" t="s">
        <v>306</v>
      </c>
    </row>
    <row r="14" spans="1:4" x14ac:dyDescent="0.25">
      <c r="A14" s="2">
        <v>13</v>
      </c>
      <c r="B14" s="2" t="s">
        <v>279</v>
      </c>
      <c r="C14" s="2">
        <v>25.2</v>
      </c>
      <c r="D14" s="2" t="s">
        <v>306</v>
      </c>
    </row>
    <row r="15" spans="1:4" x14ac:dyDescent="0.25">
      <c r="A15" s="2">
        <v>14</v>
      </c>
      <c r="B15" s="2" t="s">
        <v>280</v>
      </c>
      <c r="C15" s="2">
        <v>13.3</v>
      </c>
      <c r="D15" s="2" t="s">
        <v>306</v>
      </c>
    </row>
    <row r="16" spans="1:4" x14ac:dyDescent="0.25">
      <c r="A16" s="2">
        <v>15</v>
      </c>
      <c r="B16" s="2" t="s">
        <v>229</v>
      </c>
      <c r="C16" s="2">
        <v>10.199999999999999</v>
      </c>
      <c r="D16" s="2" t="s">
        <v>306</v>
      </c>
    </row>
    <row r="17" spans="1:4" x14ac:dyDescent="0.25">
      <c r="A17" s="2">
        <v>16</v>
      </c>
      <c r="B17" s="2" t="s">
        <v>230</v>
      </c>
      <c r="C17" s="2">
        <v>10.9</v>
      </c>
      <c r="D17" s="2" t="s">
        <v>306</v>
      </c>
    </row>
    <row r="18" spans="1:4" x14ac:dyDescent="0.25">
      <c r="A18" s="2">
        <v>17</v>
      </c>
      <c r="B18" s="2" t="s">
        <v>231</v>
      </c>
      <c r="C18" s="2">
        <v>7.5</v>
      </c>
      <c r="D18" s="2" t="s">
        <v>306</v>
      </c>
    </row>
    <row r="19" spans="1:4" x14ac:dyDescent="0.25">
      <c r="A19" s="2">
        <v>18</v>
      </c>
      <c r="B19" s="2" t="s">
        <v>232</v>
      </c>
      <c r="C19" s="2">
        <v>5.7</v>
      </c>
      <c r="D19" s="2" t="s">
        <v>306</v>
      </c>
    </row>
    <row r="20" spans="1:4" x14ac:dyDescent="0.25">
      <c r="A20" s="2">
        <v>19</v>
      </c>
      <c r="B20" s="2" t="s">
        <v>234</v>
      </c>
      <c r="C20" s="2">
        <v>23.5</v>
      </c>
      <c r="D20" s="2" t="s">
        <v>306</v>
      </c>
    </row>
    <row r="21" spans="1:4" x14ac:dyDescent="0.25">
      <c r="A21" s="2">
        <v>20</v>
      </c>
      <c r="B21" s="2" t="s">
        <v>235</v>
      </c>
      <c r="C21" s="2">
        <v>15.2</v>
      </c>
      <c r="D21" s="2" t="s">
        <v>306</v>
      </c>
    </row>
    <row r="22" spans="1:4" x14ac:dyDescent="0.25">
      <c r="A22" s="2">
        <v>21</v>
      </c>
      <c r="B22" s="2" t="s">
        <v>236</v>
      </c>
      <c r="C22" s="2">
        <v>18.100000000000001</v>
      </c>
      <c r="D22" s="2" t="s">
        <v>306</v>
      </c>
    </row>
    <row r="23" spans="1:4" x14ac:dyDescent="0.25">
      <c r="A23" s="2">
        <v>22</v>
      </c>
      <c r="B23" s="2" t="s">
        <v>238</v>
      </c>
      <c r="C23" s="2">
        <v>21.9</v>
      </c>
      <c r="D23" s="2" t="s">
        <v>306</v>
      </c>
    </row>
    <row r="24" spans="1:4" x14ac:dyDescent="0.25">
      <c r="A24" s="2">
        <v>23</v>
      </c>
      <c r="B24" s="2" t="s">
        <v>239</v>
      </c>
      <c r="C24" s="2">
        <v>36.6</v>
      </c>
      <c r="D24" s="2" t="s">
        <v>306</v>
      </c>
    </row>
    <row r="25" spans="1:4" x14ac:dyDescent="0.25">
      <c r="A25" s="2">
        <v>24</v>
      </c>
      <c r="B25" s="2" t="s">
        <v>240</v>
      </c>
      <c r="C25" s="2">
        <v>7.9</v>
      </c>
      <c r="D25" s="2" t="s">
        <v>306</v>
      </c>
    </row>
    <row r="26" spans="1:4" x14ac:dyDescent="0.25">
      <c r="A26" s="2">
        <v>25</v>
      </c>
      <c r="B26" s="2" t="s">
        <v>242</v>
      </c>
      <c r="C26" s="2">
        <v>13.4</v>
      </c>
      <c r="D26" s="2" t="s">
        <v>306</v>
      </c>
    </row>
    <row r="27" spans="1:4" x14ac:dyDescent="0.25">
      <c r="A27" s="2">
        <v>26</v>
      </c>
      <c r="B27" s="2" t="s">
        <v>244</v>
      </c>
      <c r="C27" s="2">
        <v>19.3</v>
      </c>
      <c r="D27" s="2" t="s">
        <v>306</v>
      </c>
    </row>
    <row r="28" spans="1:4" x14ac:dyDescent="0.25">
      <c r="A28" s="2">
        <v>27</v>
      </c>
      <c r="B28" s="2" t="s">
        <v>245</v>
      </c>
      <c r="C28" s="2">
        <v>11.1</v>
      </c>
      <c r="D28" s="2" t="s">
        <v>306</v>
      </c>
    </row>
    <row r="29" spans="1:4" x14ac:dyDescent="0.25">
      <c r="A29" s="2">
        <v>28</v>
      </c>
      <c r="B29" s="2" t="s">
        <v>246</v>
      </c>
      <c r="C29" s="2">
        <v>63.8</v>
      </c>
      <c r="D29" s="2" t="s">
        <v>306</v>
      </c>
    </row>
    <row r="30" spans="1:4" x14ac:dyDescent="0.25">
      <c r="A30" s="2">
        <v>29</v>
      </c>
      <c r="B30" s="2" t="s">
        <v>249</v>
      </c>
      <c r="C30" s="2">
        <v>79.400000000000006</v>
      </c>
      <c r="D30" s="2" t="s">
        <v>306</v>
      </c>
    </row>
    <row r="31" spans="1:4" x14ac:dyDescent="0.25">
      <c r="A31" s="1" t="s">
        <v>288</v>
      </c>
      <c r="B31" s="1"/>
      <c r="C31" s="1">
        <f>SUM(C2:C30)</f>
        <v>573.4</v>
      </c>
      <c r="D31" s="1">
        <f>COUNTIF(D2:D30,Playlist!$J$5)</f>
        <v>0</v>
      </c>
    </row>
  </sheetData>
  <conditionalFormatting sqref="D2:D30">
    <cfRule type="containsText" dxfId="13" priority="1" operator="containsText" text="Start">
      <formula>NOT(ISERROR(SEARCH("Start",D2)))</formula>
    </cfRule>
    <cfRule type="containsText" dxfId="12" priority="2" operator="containsText" text="Completed">
      <formula>NOT(ISERROR(SEARCH("Completed",D2)))</formula>
    </cfRule>
    <cfRule type="containsText" dxfId="11" priority="3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BC709D9F-F24A-4B22-8C1D-1723A7D48258}">
          <x14:formula1>
            <xm:f>Playlist!$J$2:$J$5</xm:f>
          </x14:formula1>
          <xm:sqref>D2:D30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9B76-6200-4569-8353-A71E2C1BC2E1}">
  <dimension ref="A1:D14"/>
  <sheetViews>
    <sheetView zoomScale="130" zoomScaleNormal="130" workbookViewId="0"/>
  </sheetViews>
  <sheetFormatPr defaultRowHeight="15" x14ac:dyDescent="0.25"/>
  <cols>
    <col min="1" max="1" width="5.42578125" bestFit="1" customWidth="1"/>
    <col min="2" max="2" width="83.5703125" bestFit="1" customWidth="1"/>
    <col min="4" max="4" width="13.7109375" bestFit="1" customWidth="1"/>
  </cols>
  <sheetData>
    <row r="1" spans="1:4" x14ac:dyDescent="0.25">
      <c r="A1" s="6" t="str">
        <f>HYPERLINK(Playlist!D8,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309</v>
      </c>
      <c r="C2" s="2">
        <v>6.4</v>
      </c>
      <c r="D2" s="2" t="s">
        <v>306</v>
      </c>
    </row>
    <row r="3" spans="1:4" x14ac:dyDescent="0.25">
      <c r="A3" s="2">
        <v>2</v>
      </c>
      <c r="B3" s="2" t="s">
        <v>310</v>
      </c>
      <c r="C3" s="2">
        <v>23.5</v>
      </c>
      <c r="D3" s="2" t="s">
        <v>306</v>
      </c>
    </row>
    <row r="4" spans="1:4" x14ac:dyDescent="0.25">
      <c r="A4" s="2">
        <v>3</v>
      </c>
      <c r="B4" s="2" t="s">
        <v>311</v>
      </c>
      <c r="C4" s="2">
        <v>13.8</v>
      </c>
      <c r="D4" s="2" t="s">
        <v>306</v>
      </c>
    </row>
    <row r="5" spans="1:4" x14ac:dyDescent="0.25">
      <c r="A5" s="2">
        <v>4</v>
      </c>
      <c r="B5" s="2" t="s">
        <v>312</v>
      </c>
      <c r="C5" s="2">
        <v>20.399999999999999</v>
      </c>
      <c r="D5" s="2" t="s">
        <v>306</v>
      </c>
    </row>
    <row r="6" spans="1:4" x14ac:dyDescent="0.25">
      <c r="A6" s="2">
        <v>5</v>
      </c>
      <c r="B6" s="2" t="s">
        <v>313</v>
      </c>
      <c r="C6" s="2">
        <v>6.1</v>
      </c>
      <c r="D6" s="2" t="s">
        <v>306</v>
      </c>
    </row>
    <row r="7" spans="1:4" x14ac:dyDescent="0.25">
      <c r="A7" s="2">
        <v>6</v>
      </c>
      <c r="B7" s="2" t="s">
        <v>314</v>
      </c>
      <c r="C7" s="2">
        <v>15.3</v>
      </c>
      <c r="D7" s="2" t="s">
        <v>306</v>
      </c>
    </row>
    <row r="8" spans="1:4" x14ac:dyDescent="0.25">
      <c r="A8" s="2">
        <v>7</v>
      </c>
      <c r="B8" s="2" t="s">
        <v>315</v>
      </c>
      <c r="C8" s="2">
        <v>11.1</v>
      </c>
      <c r="D8" s="2" t="s">
        <v>306</v>
      </c>
    </row>
    <row r="9" spans="1:4" x14ac:dyDescent="0.25">
      <c r="A9" s="2">
        <v>8</v>
      </c>
      <c r="B9" s="2" t="s">
        <v>316</v>
      </c>
      <c r="C9" s="2">
        <v>13.5</v>
      </c>
      <c r="D9" s="2" t="s">
        <v>306</v>
      </c>
    </row>
    <row r="10" spans="1:4" x14ac:dyDescent="0.25">
      <c r="A10" s="2">
        <v>9</v>
      </c>
      <c r="B10" s="2" t="s">
        <v>317</v>
      </c>
      <c r="C10" s="2">
        <v>19.5</v>
      </c>
      <c r="D10" s="2" t="s">
        <v>306</v>
      </c>
    </row>
    <row r="11" spans="1:4" x14ac:dyDescent="0.25">
      <c r="A11" s="2">
        <v>10</v>
      </c>
      <c r="B11" s="2" t="s">
        <v>319</v>
      </c>
      <c r="C11" s="2">
        <v>19</v>
      </c>
      <c r="D11" s="2" t="s">
        <v>306</v>
      </c>
    </row>
    <row r="12" spans="1:4" x14ac:dyDescent="0.25">
      <c r="A12" s="2">
        <v>11</v>
      </c>
      <c r="B12" s="2" t="s">
        <v>318</v>
      </c>
      <c r="C12" s="2">
        <v>14.8</v>
      </c>
      <c r="D12" s="2" t="s">
        <v>306</v>
      </c>
    </row>
    <row r="13" spans="1:4" x14ac:dyDescent="0.25">
      <c r="A13" s="2">
        <v>12</v>
      </c>
      <c r="B13" s="2" t="s">
        <v>176</v>
      </c>
      <c r="C13" s="2">
        <v>12.5</v>
      </c>
      <c r="D13" s="2" t="s">
        <v>306</v>
      </c>
    </row>
    <row r="14" spans="1:4" x14ac:dyDescent="0.25">
      <c r="A14" s="1" t="s">
        <v>288</v>
      </c>
      <c r="B14" s="1"/>
      <c r="C14" s="1">
        <f>SUM(C2:C13)</f>
        <v>175.89999999999998</v>
      </c>
      <c r="D14" s="1">
        <f>COUNTIF(D2:D13,Playlist!$J$5)</f>
        <v>0</v>
      </c>
    </row>
  </sheetData>
  <conditionalFormatting sqref="D2:D13">
    <cfRule type="cellIs" dxfId="10" priority="1" operator="equal">
      <formula>"On Hold"</formula>
    </cfRule>
    <cfRule type="containsText" dxfId="9" priority="2" operator="containsText" text="Yet to Start">
      <formula>NOT(ISERROR(SEARCH("Yet to Start",D2)))</formula>
    </cfRule>
    <cfRule type="containsText" dxfId="8" priority="3" operator="containsText" text="Completed">
      <formula>NOT(ISERROR(SEARCH("Completed",D2)))</formula>
    </cfRule>
    <cfRule type="containsText" dxfId="7" priority="4" operator="containsText" text="In Progress">
      <formula>NOT(ISERROR(SEARCH("In Progress",D2)))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CA17ABE1-9B52-4725-B26C-361F05B9C509}">
          <x14:formula1>
            <xm:f>Playlist!$J$2:$J$5</xm:f>
          </x14:formula1>
          <xm:sqref>D2:D13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2963-75DA-468F-A33E-1B0FA6484EFC}">
  <dimension ref="A1:D8"/>
  <sheetViews>
    <sheetView topLeftCell="A4" zoomScale="130" zoomScaleNormal="130" workbookViewId="0">
      <selection activeCell="B16" sqref="B16"/>
    </sheetView>
  </sheetViews>
  <sheetFormatPr defaultRowHeight="15" x14ac:dyDescent="0.25"/>
  <cols>
    <col min="1" max="1" width="5.42578125" bestFit="1" customWidth="1"/>
    <col min="2" max="2" width="83.5703125" bestFit="1" customWidth="1"/>
    <col min="3" max="3" width="6" bestFit="1" customWidth="1"/>
    <col min="4" max="4" width="13.7109375" bestFit="1" customWidth="1"/>
  </cols>
  <sheetData>
    <row r="1" spans="1:4" x14ac:dyDescent="0.25">
      <c r="A1" s="5" t="str">
        <f>HYPERLINK(Playlist!D9,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281</v>
      </c>
      <c r="C2" s="2">
        <v>14.3</v>
      </c>
      <c r="D2" s="2" t="s">
        <v>306</v>
      </c>
    </row>
    <row r="3" spans="1:4" x14ac:dyDescent="0.25">
      <c r="A3" s="2">
        <v>2</v>
      </c>
      <c r="B3" s="2" t="s">
        <v>282</v>
      </c>
      <c r="C3" s="2">
        <v>4.9000000000000004</v>
      </c>
      <c r="D3" s="2" t="s">
        <v>306</v>
      </c>
    </row>
    <row r="4" spans="1:4" x14ac:dyDescent="0.25">
      <c r="A4" s="2">
        <v>3</v>
      </c>
      <c r="B4" s="2" t="s">
        <v>283</v>
      </c>
      <c r="C4" s="2">
        <v>146.4</v>
      </c>
      <c r="D4" s="2" t="s">
        <v>306</v>
      </c>
    </row>
    <row r="5" spans="1:4" x14ac:dyDescent="0.25">
      <c r="A5" s="2">
        <v>4</v>
      </c>
      <c r="B5" s="2" t="s">
        <v>284</v>
      </c>
      <c r="C5" s="2">
        <v>139.9</v>
      </c>
      <c r="D5" s="2" t="s">
        <v>306</v>
      </c>
    </row>
    <row r="6" spans="1:4" x14ac:dyDescent="0.25">
      <c r="A6" s="2">
        <v>5</v>
      </c>
      <c r="B6" s="2" t="s">
        <v>285</v>
      </c>
      <c r="C6" s="2">
        <v>153.80000000000001</v>
      </c>
      <c r="D6" s="2" t="s">
        <v>306</v>
      </c>
    </row>
    <row r="7" spans="1:4" x14ac:dyDescent="0.25">
      <c r="A7" s="2">
        <v>6</v>
      </c>
      <c r="B7" s="2" t="s">
        <v>286</v>
      </c>
      <c r="C7" s="2">
        <v>160.5</v>
      </c>
      <c r="D7" s="2" t="s">
        <v>306</v>
      </c>
    </row>
    <row r="8" spans="1:4" x14ac:dyDescent="0.25">
      <c r="A8" s="1" t="s">
        <v>288</v>
      </c>
      <c r="B8" s="1"/>
      <c r="C8" s="1">
        <f>SUM(C2:C7)</f>
        <v>619.79999999999995</v>
      </c>
      <c r="D8" s="1">
        <f>COUNTIF(D2:D7,Playlist!$J$5)</f>
        <v>0</v>
      </c>
    </row>
  </sheetData>
  <conditionalFormatting sqref="D2:D7">
    <cfRule type="cellIs" dxfId="6" priority="1" operator="equal">
      <formula>"On Hold"</formula>
    </cfRule>
    <cfRule type="containsText" dxfId="5" priority="2" operator="containsText" text="Yet to Start">
      <formula>NOT(ISERROR(SEARCH("Yet to Start",D2)))</formula>
    </cfRule>
    <cfRule type="containsText" dxfId="4" priority="3" operator="containsText" text="Completed">
      <formula>NOT(ISERROR(SEARCH("Completed",D2)))</formula>
    </cfRule>
    <cfRule type="containsText" dxfId="3" priority="4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3C623B3C-CCEE-44C2-B577-D07F906A98E2}">
          <x14:formula1>
            <xm:f>Playlist!$J$2:$J$5</xm:f>
          </x14:formula1>
          <xm:sqref>D2:D7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9709-FE40-4036-9906-2F1846ED2B49}">
  <dimension ref="A1:D77"/>
  <sheetViews>
    <sheetView zoomScale="130" zoomScaleNormal="130" workbookViewId="0">
      <selection activeCell="D2" sqref="D2"/>
    </sheetView>
  </sheetViews>
  <sheetFormatPr defaultRowHeight="15" x14ac:dyDescent="0.25"/>
  <cols>
    <col min="1" max="1" width="5.42578125" bestFit="1" customWidth="1"/>
    <col min="2" max="2" width="101.85546875" bestFit="1" customWidth="1"/>
    <col min="3" max="3" width="7" bestFit="1" customWidth="1"/>
    <col min="4" max="4" width="13.7109375" bestFit="1" customWidth="1"/>
  </cols>
  <sheetData>
    <row r="1" spans="1:4" x14ac:dyDescent="0.25">
      <c r="A1" s="5" t="str">
        <f>HYPERLINK(Playlist!D10, Playlist!$A$1)</f>
        <v>ID</v>
      </c>
      <c r="B1" s="1" t="s">
        <v>2</v>
      </c>
      <c r="C1" s="1" t="s">
        <v>287</v>
      </c>
      <c r="D1" s="1" t="s">
        <v>294</v>
      </c>
    </row>
    <row r="2" spans="1:4" x14ac:dyDescent="0.25">
      <c r="A2" s="2">
        <v>1</v>
      </c>
      <c r="B2" s="2" t="s">
        <v>341</v>
      </c>
      <c r="C2" s="2">
        <v>21.5</v>
      </c>
      <c r="D2" s="2" t="s">
        <v>306</v>
      </c>
    </row>
    <row r="3" spans="1:4" x14ac:dyDescent="0.25">
      <c r="A3" s="2">
        <v>2</v>
      </c>
      <c r="B3" s="2" t="s">
        <v>342</v>
      </c>
      <c r="C3" s="2">
        <v>12.2</v>
      </c>
      <c r="D3" s="2" t="s">
        <v>306</v>
      </c>
    </row>
    <row r="4" spans="1:4" x14ac:dyDescent="0.25">
      <c r="A4" s="2">
        <v>3</v>
      </c>
      <c r="B4" s="2" t="s">
        <v>397</v>
      </c>
      <c r="C4" s="2">
        <v>16.600000000000001</v>
      </c>
      <c r="D4" s="2" t="s">
        <v>306</v>
      </c>
    </row>
    <row r="5" spans="1:4" x14ac:dyDescent="0.25">
      <c r="A5" s="2">
        <v>4</v>
      </c>
      <c r="B5" s="2" t="s">
        <v>289</v>
      </c>
      <c r="C5" s="2">
        <v>13.8</v>
      </c>
      <c r="D5" s="2" t="s">
        <v>306</v>
      </c>
    </row>
    <row r="6" spans="1:4" x14ac:dyDescent="0.25">
      <c r="A6" s="2">
        <v>5</v>
      </c>
      <c r="B6" s="2" t="s">
        <v>343</v>
      </c>
      <c r="C6" s="2">
        <v>15.2</v>
      </c>
      <c r="D6" s="2" t="s">
        <v>306</v>
      </c>
    </row>
    <row r="7" spans="1:4" x14ac:dyDescent="0.25">
      <c r="A7" s="2">
        <v>6</v>
      </c>
      <c r="B7" s="2" t="s">
        <v>344</v>
      </c>
      <c r="C7" s="2">
        <v>23.6</v>
      </c>
      <c r="D7" s="2" t="s">
        <v>306</v>
      </c>
    </row>
    <row r="8" spans="1:4" x14ac:dyDescent="0.25">
      <c r="A8" s="2">
        <v>7</v>
      </c>
      <c r="B8" s="2" t="s">
        <v>345</v>
      </c>
      <c r="C8" s="2">
        <v>26.9</v>
      </c>
      <c r="D8" s="2" t="s">
        <v>306</v>
      </c>
    </row>
    <row r="9" spans="1:4" x14ac:dyDescent="0.25">
      <c r="A9" s="2">
        <v>8</v>
      </c>
      <c r="B9" s="2" t="s">
        <v>346</v>
      </c>
      <c r="C9" s="2">
        <v>5.5</v>
      </c>
      <c r="D9" s="2" t="s">
        <v>306</v>
      </c>
    </row>
    <row r="10" spans="1:4" x14ac:dyDescent="0.25">
      <c r="A10" s="2">
        <v>9</v>
      </c>
      <c r="B10" s="2" t="s">
        <v>347</v>
      </c>
      <c r="C10" s="2">
        <v>9.8000000000000007</v>
      </c>
      <c r="D10" s="2" t="s">
        <v>306</v>
      </c>
    </row>
    <row r="11" spans="1:4" x14ac:dyDescent="0.25">
      <c r="A11" s="2">
        <v>10</v>
      </c>
      <c r="B11" s="2" t="s">
        <v>348</v>
      </c>
      <c r="C11" s="2">
        <v>11.9</v>
      </c>
      <c r="D11" s="2" t="s">
        <v>306</v>
      </c>
    </row>
    <row r="12" spans="1:4" x14ac:dyDescent="0.25">
      <c r="A12" s="2">
        <v>11</v>
      </c>
      <c r="B12" s="2" t="s">
        <v>349</v>
      </c>
      <c r="C12" s="2">
        <v>5.4</v>
      </c>
      <c r="D12" s="2" t="s">
        <v>306</v>
      </c>
    </row>
    <row r="13" spans="1:4" x14ac:dyDescent="0.25">
      <c r="A13" s="2">
        <v>12</v>
      </c>
      <c r="B13" s="2" t="s">
        <v>350</v>
      </c>
      <c r="C13" s="2">
        <v>9.8000000000000007</v>
      </c>
      <c r="D13" s="2" t="s">
        <v>306</v>
      </c>
    </row>
    <row r="14" spans="1:4" x14ac:dyDescent="0.25">
      <c r="A14" s="2">
        <v>13</v>
      </c>
      <c r="B14" s="2" t="s">
        <v>351</v>
      </c>
      <c r="C14" s="2">
        <v>13.6</v>
      </c>
      <c r="D14" s="2" t="s">
        <v>306</v>
      </c>
    </row>
    <row r="15" spans="1:4" x14ac:dyDescent="0.25">
      <c r="A15" s="2">
        <v>14</v>
      </c>
      <c r="B15" s="2" t="s">
        <v>352</v>
      </c>
      <c r="C15" s="2">
        <v>14.5</v>
      </c>
      <c r="D15" s="2" t="s">
        <v>306</v>
      </c>
    </row>
    <row r="16" spans="1:4" x14ac:dyDescent="0.25">
      <c r="A16" s="2">
        <v>15</v>
      </c>
      <c r="B16" s="2" t="s">
        <v>353</v>
      </c>
      <c r="C16" s="2">
        <v>10.1</v>
      </c>
      <c r="D16" s="2" t="s">
        <v>306</v>
      </c>
    </row>
    <row r="17" spans="1:4" x14ac:dyDescent="0.25">
      <c r="A17" s="2">
        <v>16</v>
      </c>
      <c r="B17" s="2" t="s">
        <v>354</v>
      </c>
      <c r="C17" s="2">
        <v>17.3</v>
      </c>
      <c r="D17" s="2" t="s">
        <v>306</v>
      </c>
    </row>
    <row r="18" spans="1:4" x14ac:dyDescent="0.25">
      <c r="A18" s="2">
        <v>17</v>
      </c>
      <c r="B18" s="2" t="s">
        <v>121</v>
      </c>
      <c r="C18" s="2">
        <v>11</v>
      </c>
      <c r="D18" s="2" t="s">
        <v>306</v>
      </c>
    </row>
    <row r="19" spans="1:4" x14ac:dyDescent="0.25">
      <c r="A19" s="2">
        <v>18</v>
      </c>
      <c r="B19" s="2" t="s">
        <v>355</v>
      </c>
      <c r="C19" s="2">
        <v>13</v>
      </c>
      <c r="D19" s="2" t="s">
        <v>306</v>
      </c>
    </row>
    <row r="20" spans="1:4" x14ac:dyDescent="0.25">
      <c r="A20" s="2">
        <v>19</v>
      </c>
      <c r="B20" s="2" t="s">
        <v>356</v>
      </c>
      <c r="C20" s="2">
        <v>6.8</v>
      </c>
      <c r="D20" s="2" t="s">
        <v>306</v>
      </c>
    </row>
    <row r="21" spans="1:4" x14ac:dyDescent="0.25">
      <c r="A21" s="2">
        <v>20</v>
      </c>
      <c r="B21" s="2" t="s">
        <v>357</v>
      </c>
      <c r="C21" s="2">
        <v>9.3000000000000007</v>
      </c>
      <c r="D21" s="2" t="s">
        <v>306</v>
      </c>
    </row>
    <row r="22" spans="1:4" x14ac:dyDescent="0.25">
      <c r="A22" s="2">
        <v>21</v>
      </c>
      <c r="B22" s="2" t="s">
        <v>358</v>
      </c>
      <c r="C22" s="2">
        <v>11.8</v>
      </c>
      <c r="D22" s="2" t="s">
        <v>306</v>
      </c>
    </row>
    <row r="23" spans="1:4" x14ac:dyDescent="0.25">
      <c r="A23" s="2">
        <v>22</v>
      </c>
      <c r="B23" s="2" t="s">
        <v>359</v>
      </c>
      <c r="C23" s="2">
        <v>8.4</v>
      </c>
      <c r="D23" s="2" t="s">
        <v>306</v>
      </c>
    </row>
    <row r="24" spans="1:4" x14ac:dyDescent="0.25">
      <c r="A24" s="2">
        <v>23</v>
      </c>
      <c r="B24" s="2" t="s">
        <v>360</v>
      </c>
      <c r="C24" s="2">
        <v>7.6</v>
      </c>
      <c r="D24" s="2" t="s">
        <v>306</v>
      </c>
    </row>
    <row r="25" spans="1:4" x14ac:dyDescent="0.25">
      <c r="A25" s="2">
        <v>24</v>
      </c>
      <c r="B25" s="2" t="s">
        <v>361</v>
      </c>
      <c r="C25" s="2">
        <v>13.3</v>
      </c>
      <c r="D25" s="2" t="s">
        <v>306</v>
      </c>
    </row>
    <row r="26" spans="1:4" x14ac:dyDescent="0.25">
      <c r="A26" s="2">
        <v>25</v>
      </c>
      <c r="B26" s="2" t="s">
        <v>362</v>
      </c>
      <c r="C26" s="2">
        <v>23.4</v>
      </c>
      <c r="D26" s="2" t="s">
        <v>306</v>
      </c>
    </row>
    <row r="27" spans="1:4" x14ac:dyDescent="0.25">
      <c r="A27" s="2">
        <v>26</v>
      </c>
      <c r="B27" s="2" t="s">
        <v>363</v>
      </c>
      <c r="C27" s="2">
        <v>9.8000000000000007</v>
      </c>
      <c r="D27" s="2" t="s">
        <v>306</v>
      </c>
    </row>
    <row r="28" spans="1:4" x14ac:dyDescent="0.25">
      <c r="A28" s="2">
        <v>27</v>
      </c>
      <c r="B28" s="2" t="s">
        <v>364</v>
      </c>
      <c r="C28" s="2">
        <v>23</v>
      </c>
      <c r="D28" s="2" t="s">
        <v>306</v>
      </c>
    </row>
    <row r="29" spans="1:4" x14ac:dyDescent="0.25">
      <c r="A29" s="2">
        <v>28</v>
      </c>
      <c r="B29" s="2" t="s">
        <v>130</v>
      </c>
      <c r="C29" s="2">
        <v>7.6</v>
      </c>
      <c r="D29" s="2" t="s">
        <v>306</v>
      </c>
    </row>
    <row r="30" spans="1:4" x14ac:dyDescent="0.25">
      <c r="A30" s="2">
        <v>29</v>
      </c>
      <c r="B30" s="2" t="s">
        <v>128</v>
      </c>
      <c r="C30" s="2">
        <v>18.5</v>
      </c>
      <c r="D30" s="2" t="s">
        <v>306</v>
      </c>
    </row>
    <row r="31" spans="1:4" x14ac:dyDescent="0.25">
      <c r="A31" s="2">
        <v>30</v>
      </c>
      <c r="B31" s="2" t="s">
        <v>365</v>
      </c>
      <c r="C31" s="2">
        <v>18.600000000000001</v>
      </c>
      <c r="D31" s="2" t="s">
        <v>306</v>
      </c>
    </row>
    <row r="32" spans="1:4" x14ac:dyDescent="0.25">
      <c r="A32" s="2">
        <v>31</v>
      </c>
      <c r="B32" s="2" t="s">
        <v>366</v>
      </c>
      <c r="C32" s="2">
        <v>24.3</v>
      </c>
      <c r="D32" s="2" t="s">
        <v>306</v>
      </c>
    </row>
    <row r="33" spans="1:4" x14ac:dyDescent="0.25">
      <c r="A33" s="2">
        <v>32</v>
      </c>
      <c r="B33" s="2" t="s">
        <v>367</v>
      </c>
      <c r="C33" s="2">
        <v>22</v>
      </c>
      <c r="D33" s="2" t="s">
        <v>306</v>
      </c>
    </row>
    <row r="34" spans="1:4" x14ac:dyDescent="0.25">
      <c r="A34" s="2">
        <v>33</v>
      </c>
      <c r="B34" s="2" t="s">
        <v>368</v>
      </c>
      <c r="C34" s="2">
        <v>16.8</v>
      </c>
      <c r="D34" s="2" t="s">
        <v>306</v>
      </c>
    </row>
    <row r="35" spans="1:4" x14ac:dyDescent="0.25">
      <c r="A35" s="2">
        <v>34</v>
      </c>
      <c r="B35" s="2" t="s">
        <v>369</v>
      </c>
      <c r="C35" s="2">
        <v>15.7</v>
      </c>
      <c r="D35" s="2" t="s">
        <v>306</v>
      </c>
    </row>
    <row r="36" spans="1:4" x14ac:dyDescent="0.25">
      <c r="A36" s="2">
        <v>35</v>
      </c>
      <c r="B36" s="2" t="s">
        <v>127</v>
      </c>
      <c r="C36" s="2">
        <v>6.2</v>
      </c>
      <c r="D36" s="2" t="s">
        <v>306</v>
      </c>
    </row>
    <row r="37" spans="1:4" x14ac:dyDescent="0.25">
      <c r="A37" s="2">
        <v>36</v>
      </c>
      <c r="B37" s="2" t="s">
        <v>370</v>
      </c>
      <c r="C37" s="2">
        <v>12.9</v>
      </c>
      <c r="D37" s="2" t="s">
        <v>306</v>
      </c>
    </row>
    <row r="38" spans="1:4" x14ac:dyDescent="0.25">
      <c r="A38" s="2">
        <v>37</v>
      </c>
      <c r="B38" s="2" t="s">
        <v>371</v>
      </c>
      <c r="C38" s="2">
        <v>18.3</v>
      </c>
      <c r="D38" s="2" t="s">
        <v>306</v>
      </c>
    </row>
    <row r="39" spans="1:4" x14ac:dyDescent="0.25">
      <c r="A39" s="2">
        <v>38</v>
      </c>
      <c r="B39" s="2" t="s">
        <v>372</v>
      </c>
      <c r="C39" s="2">
        <v>9.1</v>
      </c>
      <c r="D39" s="2" t="s">
        <v>306</v>
      </c>
    </row>
    <row r="40" spans="1:4" x14ac:dyDescent="0.25">
      <c r="A40" s="2">
        <v>39</v>
      </c>
      <c r="B40" s="2" t="s">
        <v>373</v>
      </c>
      <c r="C40" s="2">
        <v>25.2</v>
      </c>
      <c r="D40" s="2" t="s">
        <v>306</v>
      </c>
    </row>
    <row r="41" spans="1:4" x14ac:dyDescent="0.25">
      <c r="A41" s="2">
        <v>40</v>
      </c>
      <c r="B41" s="2" t="s">
        <v>374</v>
      </c>
      <c r="C41" s="2">
        <v>19.899999999999999</v>
      </c>
      <c r="D41" s="2" t="s">
        <v>306</v>
      </c>
    </row>
    <row r="42" spans="1:4" x14ac:dyDescent="0.25">
      <c r="A42" s="2">
        <v>41</v>
      </c>
      <c r="B42" s="2" t="s">
        <v>375</v>
      </c>
      <c r="C42" s="2">
        <v>24.8</v>
      </c>
      <c r="D42" s="2" t="s">
        <v>306</v>
      </c>
    </row>
    <row r="43" spans="1:4" x14ac:dyDescent="0.25">
      <c r="A43" s="2">
        <v>42</v>
      </c>
      <c r="B43" s="2" t="s">
        <v>60</v>
      </c>
      <c r="C43" s="2">
        <v>12</v>
      </c>
      <c r="D43" s="2" t="s">
        <v>306</v>
      </c>
    </row>
    <row r="44" spans="1:4" x14ac:dyDescent="0.25">
      <c r="A44" s="2">
        <v>43</v>
      </c>
      <c r="B44" s="2" t="s">
        <v>59</v>
      </c>
      <c r="C44" s="2">
        <v>15.8</v>
      </c>
      <c r="D44" s="2" t="s">
        <v>306</v>
      </c>
    </row>
    <row r="45" spans="1:4" x14ac:dyDescent="0.25">
      <c r="A45" s="2">
        <v>44</v>
      </c>
      <c r="B45" s="2" t="s">
        <v>58</v>
      </c>
      <c r="C45" s="2">
        <v>11.8</v>
      </c>
      <c r="D45" s="2" t="s">
        <v>306</v>
      </c>
    </row>
    <row r="46" spans="1:4" x14ac:dyDescent="0.25">
      <c r="A46" s="2">
        <v>45</v>
      </c>
      <c r="B46" s="2" t="s">
        <v>57</v>
      </c>
      <c r="C46" s="2">
        <v>12.9</v>
      </c>
      <c r="D46" s="2" t="s">
        <v>306</v>
      </c>
    </row>
    <row r="47" spans="1:4" x14ac:dyDescent="0.25">
      <c r="A47" s="2">
        <v>46</v>
      </c>
      <c r="B47" s="2" t="s">
        <v>376</v>
      </c>
      <c r="C47" s="2">
        <v>15.6</v>
      </c>
      <c r="D47" s="2" t="s">
        <v>306</v>
      </c>
    </row>
    <row r="48" spans="1:4" x14ac:dyDescent="0.25">
      <c r="A48" s="2">
        <v>47</v>
      </c>
      <c r="B48" s="2" t="s">
        <v>377</v>
      </c>
      <c r="C48" s="2">
        <v>13.7</v>
      </c>
      <c r="D48" s="2" t="s">
        <v>306</v>
      </c>
    </row>
    <row r="49" spans="1:4" x14ac:dyDescent="0.25">
      <c r="A49" s="2">
        <v>48</v>
      </c>
      <c r="B49" s="2" t="s">
        <v>132</v>
      </c>
      <c r="C49" s="2">
        <v>12.5</v>
      </c>
      <c r="D49" s="2" t="s">
        <v>306</v>
      </c>
    </row>
    <row r="50" spans="1:4" x14ac:dyDescent="0.25">
      <c r="A50" s="2">
        <v>49</v>
      </c>
      <c r="B50" s="2" t="s">
        <v>378</v>
      </c>
      <c r="C50" s="2">
        <v>27.6</v>
      </c>
      <c r="D50" s="2" t="s">
        <v>306</v>
      </c>
    </row>
    <row r="51" spans="1:4" x14ac:dyDescent="0.25">
      <c r="A51" s="2">
        <v>50</v>
      </c>
      <c r="B51" s="2" t="s">
        <v>379</v>
      </c>
      <c r="C51" s="2">
        <v>9.3000000000000007</v>
      </c>
      <c r="D51" s="2" t="s">
        <v>306</v>
      </c>
    </row>
    <row r="52" spans="1:4" x14ac:dyDescent="0.25">
      <c r="A52" s="2">
        <v>51</v>
      </c>
      <c r="B52" s="2" t="s">
        <v>398</v>
      </c>
      <c r="C52" s="2">
        <v>12.9</v>
      </c>
      <c r="D52" s="2" t="s">
        <v>306</v>
      </c>
    </row>
    <row r="53" spans="1:4" x14ac:dyDescent="0.25">
      <c r="A53" s="2">
        <v>52</v>
      </c>
      <c r="B53" s="2" t="s">
        <v>399</v>
      </c>
      <c r="C53" s="2">
        <v>12.5</v>
      </c>
      <c r="D53" s="2" t="s">
        <v>306</v>
      </c>
    </row>
    <row r="54" spans="1:4" x14ac:dyDescent="0.25">
      <c r="A54" s="2">
        <v>53</v>
      </c>
      <c r="B54" s="2" t="s">
        <v>380</v>
      </c>
      <c r="C54" s="2">
        <v>16.8</v>
      </c>
      <c r="D54" s="2" t="s">
        <v>306</v>
      </c>
    </row>
    <row r="55" spans="1:4" x14ac:dyDescent="0.25">
      <c r="A55" s="2">
        <v>54</v>
      </c>
      <c r="B55" s="2" t="s">
        <v>154</v>
      </c>
      <c r="C55" s="2">
        <v>4.5999999999999996</v>
      </c>
      <c r="D55" s="2" t="s">
        <v>306</v>
      </c>
    </row>
    <row r="56" spans="1:4" x14ac:dyDescent="0.25">
      <c r="A56" s="2">
        <v>55</v>
      </c>
      <c r="B56" s="2" t="s">
        <v>381</v>
      </c>
      <c r="C56" s="2">
        <v>60.5</v>
      </c>
      <c r="D56" s="2" t="s">
        <v>306</v>
      </c>
    </row>
    <row r="57" spans="1:4" x14ac:dyDescent="0.25">
      <c r="A57" s="2">
        <v>56</v>
      </c>
      <c r="B57" s="2" t="s">
        <v>382</v>
      </c>
      <c r="C57" s="2">
        <v>35.299999999999997</v>
      </c>
      <c r="D57" s="2" t="s">
        <v>306</v>
      </c>
    </row>
    <row r="58" spans="1:4" x14ac:dyDescent="0.25">
      <c r="A58" s="2">
        <v>57</v>
      </c>
      <c r="B58" s="2" t="s">
        <v>383</v>
      </c>
      <c r="C58" s="2">
        <v>59.7</v>
      </c>
      <c r="D58" s="2" t="s">
        <v>306</v>
      </c>
    </row>
    <row r="59" spans="1:4" x14ac:dyDescent="0.25">
      <c r="A59" s="2">
        <v>58</v>
      </c>
      <c r="B59" s="2" t="s">
        <v>384</v>
      </c>
      <c r="C59" s="2">
        <v>67.099999999999994</v>
      </c>
      <c r="D59" s="2" t="s">
        <v>306</v>
      </c>
    </row>
    <row r="60" spans="1:4" x14ac:dyDescent="0.25">
      <c r="A60" s="2">
        <v>59</v>
      </c>
      <c r="B60" s="2" t="s">
        <v>385</v>
      </c>
      <c r="C60" s="2">
        <v>57.8</v>
      </c>
      <c r="D60" s="2" t="s">
        <v>306</v>
      </c>
    </row>
    <row r="61" spans="1:4" x14ac:dyDescent="0.25">
      <c r="A61" s="2">
        <v>60</v>
      </c>
      <c r="B61" s="2" t="s">
        <v>386</v>
      </c>
      <c r="C61" s="2">
        <v>66.7</v>
      </c>
      <c r="D61" s="2" t="s">
        <v>306</v>
      </c>
    </row>
    <row r="62" spans="1:4" x14ac:dyDescent="0.25">
      <c r="A62" s="2">
        <v>61</v>
      </c>
      <c r="B62" s="2" t="s">
        <v>387</v>
      </c>
      <c r="C62" s="2">
        <v>55.3</v>
      </c>
      <c r="D62" s="2" t="s">
        <v>306</v>
      </c>
    </row>
    <row r="63" spans="1:4" x14ac:dyDescent="0.25">
      <c r="A63" s="2">
        <v>62</v>
      </c>
      <c r="B63" s="2" t="s">
        <v>388</v>
      </c>
      <c r="C63" s="2">
        <v>57.8</v>
      </c>
      <c r="D63" s="2" t="s">
        <v>306</v>
      </c>
    </row>
    <row r="64" spans="1:4" x14ac:dyDescent="0.25">
      <c r="A64" s="2">
        <v>63</v>
      </c>
      <c r="B64" s="2" t="s">
        <v>389</v>
      </c>
      <c r="C64" s="2">
        <v>70.3</v>
      </c>
      <c r="D64" s="2" t="s">
        <v>306</v>
      </c>
    </row>
    <row r="65" spans="1:4" x14ac:dyDescent="0.25">
      <c r="A65" s="2">
        <v>64</v>
      </c>
      <c r="B65" s="2" t="s">
        <v>390</v>
      </c>
      <c r="C65" s="2">
        <v>55</v>
      </c>
      <c r="D65" s="2" t="s">
        <v>306</v>
      </c>
    </row>
    <row r="66" spans="1:4" x14ac:dyDescent="0.25">
      <c r="A66" s="2">
        <v>65</v>
      </c>
      <c r="B66" s="2" t="s">
        <v>391</v>
      </c>
      <c r="C66" s="2">
        <v>64.099999999999994</v>
      </c>
      <c r="D66" s="2" t="s">
        <v>306</v>
      </c>
    </row>
    <row r="67" spans="1:4" x14ac:dyDescent="0.25">
      <c r="A67" s="2">
        <v>66</v>
      </c>
      <c r="B67" s="2" t="s">
        <v>155</v>
      </c>
      <c r="C67" s="2">
        <v>16.399999999999999</v>
      </c>
      <c r="D67" s="2" t="s">
        <v>306</v>
      </c>
    </row>
    <row r="68" spans="1:4" x14ac:dyDescent="0.25">
      <c r="A68" s="2">
        <v>67</v>
      </c>
      <c r="B68" s="2" t="s">
        <v>392</v>
      </c>
      <c r="C68" s="2">
        <v>60.9</v>
      </c>
      <c r="D68" s="2" t="s">
        <v>306</v>
      </c>
    </row>
    <row r="69" spans="1:4" x14ac:dyDescent="0.25">
      <c r="A69" s="2">
        <v>68</v>
      </c>
      <c r="B69" s="2" t="s">
        <v>158</v>
      </c>
      <c r="C69" s="2">
        <v>8</v>
      </c>
      <c r="D69" s="2" t="s">
        <v>306</v>
      </c>
    </row>
    <row r="70" spans="1:4" x14ac:dyDescent="0.25">
      <c r="A70" s="2">
        <v>69</v>
      </c>
      <c r="B70" s="2" t="s">
        <v>393</v>
      </c>
      <c r="C70" s="2">
        <v>71</v>
      </c>
      <c r="D70" s="2" t="s">
        <v>306</v>
      </c>
    </row>
    <row r="71" spans="1:4" x14ac:dyDescent="0.25">
      <c r="A71" s="2">
        <v>70</v>
      </c>
      <c r="B71" s="2" t="s">
        <v>394</v>
      </c>
      <c r="C71" s="2">
        <v>46.3</v>
      </c>
      <c r="D71" s="2" t="s">
        <v>306</v>
      </c>
    </row>
    <row r="72" spans="1:4" x14ac:dyDescent="0.25">
      <c r="A72" s="2">
        <v>71</v>
      </c>
      <c r="B72" s="2" t="s">
        <v>395</v>
      </c>
      <c r="C72" s="2">
        <v>7.8</v>
      </c>
      <c r="D72" s="2" t="s">
        <v>306</v>
      </c>
    </row>
    <row r="73" spans="1:4" x14ac:dyDescent="0.25">
      <c r="A73" s="2">
        <v>72</v>
      </c>
      <c r="B73" s="2" t="s">
        <v>396</v>
      </c>
      <c r="C73" s="2">
        <v>9.6999999999999993</v>
      </c>
      <c r="D73" s="2" t="s">
        <v>306</v>
      </c>
    </row>
    <row r="74" spans="1:4" x14ac:dyDescent="0.25">
      <c r="A74" s="2">
        <v>73</v>
      </c>
      <c r="B74" s="2" t="s">
        <v>73</v>
      </c>
      <c r="C74" s="2">
        <v>2</v>
      </c>
      <c r="D74" s="2" t="s">
        <v>306</v>
      </c>
    </row>
    <row r="75" spans="1:4" x14ac:dyDescent="0.25">
      <c r="A75" s="2">
        <v>74</v>
      </c>
      <c r="B75" s="2" t="s">
        <v>74</v>
      </c>
      <c r="C75" s="2">
        <v>2.2999999999999998</v>
      </c>
      <c r="D75" s="2" t="s">
        <v>306</v>
      </c>
    </row>
    <row r="76" spans="1:4" x14ac:dyDescent="0.25">
      <c r="A76" s="2">
        <v>75</v>
      </c>
      <c r="B76" s="2" t="s">
        <v>80</v>
      </c>
      <c r="C76" s="2">
        <v>12.4</v>
      </c>
      <c r="D76" s="2" t="s">
        <v>306</v>
      </c>
    </row>
    <row r="77" spans="1:4" x14ac:dyDescent="0.25">
      <c r="A77" s="1" t="s">
        <v>288</v>
      </c>
      <c r="B77" s="1"/>
      <c r="C77" s="1">
        <f>SUM(C2:C76)</f>
        <v>1669.4</v>
      </c>
      <c r="D77" s="1">
        <f>COUNTIF(DSIQ!D2:D76,Playlist!$J$5)</f>
        <v>0</v>
      </c>
    </row>
  </sheetData>
  <conditionalFormatting sqref="D2:D76">
    <cfRule type="containsText" dxfId="2" priority="1" operator="containsText" text="Start">
      <formula>NOT(ISERROR(SEARCH("Start",D2)))</formula>
    </cfRule>
    <cfRule type="containsText" dxfId="1" priority="2" operator="containsText" text="Completed">
      <formula>NOT(ISERROR(SEARCH("Completed",D2)))</formula>
    </cfRule>
    <cfRule type="containsText" dxfId="0" priority="3" operator="containsText" text="In Progress">
      <formula>NOT(ISERROR(SEARCH("In Progress",D2)))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Progress Tracker" prompt="This cell is to track the set of videos completed." xr:uid="{31F6E82A-DCDA-4CD4-8353-13556CA698E6}">
          <x14:formula1>
            <xm:f>Playlist!$J$2:$J$5</xm:f>
          </x14:formula1>
          <xm:sqref>D2:D76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Playlist</vt:lpstr>
      <vt:lpstr>POA</vt:lpstr>
      <vt:lpstr>Python</vt:lpstr>
      <vt:lpstr>Stats</vt:lpstr>
      <vt:lpstr>ML</vt:lpstr>
      <vt:lpstr>FE</vt:lpstr>
      <vt:lpstr>DL</vt:lpstr>
      <vt:lpstr>NLP</vt:lpstr>
      <vt:lpstr>DML</vt:lpstr>
      <vt:lpstr>MLOPS</vt:lpstr>
      <vt:lpstr>DSIQ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Sattik Mohanta</cp:lastModifiedBy>
  <dcterms:created xsi:type="dcterms:W3CDTF">2021-05-16T22:32:54Z</dcterms:created>
  <dcterms:modified xsi:type="dcterms:W3CDTF">2021-07-21T14:22:04Z</dcterms:modified>
</cp:coreProperties>
</file>